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v\Downloads\"/>
    </mc:Choice>
  </mc:AlternateContent>
  <xr:revisionPtr revIDLastSave="0" documentId="13_ncr:1_{FE78D844-5AF3-49CC-B694-C617C1354227}" xr6:coauthVersionLast="47" xr6:coauthVersionMax="47" xr10:uidLastSave="{00000000-0000-0000-0000-000000000000}"/>
  <bookViews>
    <workbookView xWindow="-110" yWindow="-110" windowWidth="19420" windowHeight="10300" activeTab="1" xr2:uid="{7C16A537-E6C2-4FD8-8118-7B5C1FA6893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36" i="2" l="1"/>
  <c r="J137" i="2"/>
  <c r="J138" i="2"/>
  <c r="J139" i="2"/>
  <c r="J140" i="2"/>
  <c r="J141" i="2"/>
  <c r="J135" i="2"/>
  <c r="J129" i="2"/>
  <c r="J130" i="2"/>
  <c r="J131" i="2"/>
  <c r="J132" i="2"/>
  <c r="J133" i="2"/>
  <c r="J134" i="2"/>
  <c r="J128" i="2"/>
  <c r="J122" i="2"/>
  <c r="J123" i="2"/>
  <c r="J124" i="2"/>
  <c r="J125" i="2"/>
  <c r="J126" i="2"/>
  <c r="J127" i="2"/>
  <c r="J121" i="2"/>
  <c r="J115" i="2"/>
  <c r="J116" i="2"/>
  <c r="J117" i="2"/>
  <c r="J118" i="2"/>
  <c r="J119" i="2"/>
  <c r="J120" i="2"/>
  <c r="J114" i="2"/>
  <c r="J108" i="2"/>
  <c r="J109" i="2"/>
  <c r="J110" i="2"/>
  <c r="J111" i="2"/>
  <c r="J112" i="2"/>
  <c r="J113" i="2"/>
  <c r="J107" i="2"/>
  <c r="J101" i="2"/>
  <c r="J102" i="2"/>
  <c r="J103" i="2"/>
  <c r="J104" i="2"/>
  <c r="J105" i="2"/>
  <c r="J106" i="2"/>
  <c r="J100" i="2"/>
  <c r="J94" i="2"/>
  <c r="J95" i="2"/>
  <c r="J96" i="2"/>
  <c r="J97" i="2"/>
  <c r="J98" i="2"/>
  <c r="J99" i="2"/>
  <c r="J93" i="2"/>
  <c r="J87" i="2"/>
  <c r="J88" i="2"/>
  <c r="J89" i="2"/>
  <c r="J90" i="2"/>
  <c r="J91" i="2"/>
  <c r="J92" i="2"/>
  <c r="J86" i="2"/>
  <c r="J80" i="2"/>
  <c r="J81" i="2"/>
  <c r="J82" i="2"/>
  <c r="J83" i="2"/>
  <c r="J84" i="2"/>
  <c r="J85" i="2"/>
  <c r="J79" i="2"/>
  <c r="J73" i="2"/>
  <c r="J74" i="2"/>
  <c r="J75" i="2"/>
  <c r="J76" i="2"/>
  <c r="J77" i="2"/>
  <c r="J78" i="2"/>
  <c r="J72" i="2"/>
  <c r="J66" i="2"/>
  <c r="J67" i="2"/>
  <c r="J68" i="2"/>
  <c r="J69" i="2"/>
  <c r="J70" i="2"/>
  <c r="J71" i="2"/>
  <c r="J65" i="2"/>
  <c r="J59" i="2"/>
  <c r="J60" i="2"/>
  <c r="J61" i="2"/>
  <c r="J62" i="2"/>
  <c r="J63" i="2"/>
  <c r="J64" i="2"/>
  <c r="J58" i="2"/>
  <c r="J52" i="2"/>
  <c r="J53" i="2"/>
  <c r="J54" i="2"/>
  <c r="J55" i="2"/>
  <c r="J56" i="2"/>
  <c r="J57" i="2"/>
  <c r="J51" i="2"/>
  <c r="J45" i="2"/>
  <c r="J46" i="2"/>
  <c r="J47" i="2"/>
  <c r="J48" i="2"/>
  <c r="J49" i="2"/>
  <c r="J50" i="2"/>
  <c r="J44" i="2"/>
  <c r="J38" i="2"/>
  <c r="J39" i="2"/>
  <c r="J40" i="2"/>
  <c r="J41" i="2"/>
  <c r="J42" i="2"/>
  <c r="J43" i="2"/>
  <c r="J37" i="2"/>
  <c r="J31" i="2"/>
  <c r="J32" i="2"/>
  <c r="J33" i="2"/>
  <c r="J34" i="2"/>
  <c r="J35" i="2"/>
  <c r="J36" i="2"/>
  <c r="J30" i="2"/>
  <c r="J24" i="2"/>
  <c r="J25" i="2"/>
  <c r="J26" i="2"/>
  <c r="J27" i="2"/>
  <c r="J28" i="2"/>
  <c r="J29" i="2"/>
  <c r="J23" i="2"/>
  <c r="J17" i="2"/>
  <c r="J18" i="2"/>
  <c r="J19" i="2"/>
  <c r="J20" i="2"/>
  <c r="J21" i="2"/>
  <c r="J22" i="2"/>
  <c r="J16" i="2"/>
  <c r="J10" i="2"/>
  <c r="J11" i="2"/>
  <c r="J12" i="2"/>
  <c r="J13" i="2"/>
  <c r="J14" i="2"/>
  <c r="J15" i="2"/>
  <c r="J9" i="2"/>
  <c r="J3" i="2"/>
  <c r="J4" i="2"/>
  <c r="J5" i="2"/>
  <c r="J6" i="2"/>
  <c r="J7" i="2"/>
  <c r="J8" i="2"/>
  <c r="J2" i="2"/>
  <c r="I101" i="1"/>
  <c r="I102" i="1"/>
  <c r="I103" i="1"/>
  <c r="I104" i="1"/>
  <c r="I105" i="1"/>
  <c r="I106" i="1"/>
  <c r="I100" i="1"/>
  <c r="I94" i="1"/>
  <c r="I95" i="1"/>
  <c r="I96" i="1"/>
  <c r="I97" i="1"/>
  <c r="I98" i="1"/>
  <c r="I99" i="1"/>
  <c r="I93" i="1"/>
  <c r="I87" i="1"/>
  <c r="I88" i="1"/>
  <c r="I89" i="1"/>
  <c r="I90" i="1"/>
  <c r="I91" i="1"/>
  <c r="I92" i="1"/>
  <c r="I86" i="1"/>
  <c r="I80" i="1"/>
  <c r="I81" i="1"/>
  <c r="I82" i="1"/>
  <c r="I83" i="1"/>
  <c r="I84" i="1"/>
  <c r="I85" i="1"/>
  <c r="I79" i="1"/>
  <c r="I73" i="1"/>
  <c r="I74" i="1"/>
  <c r="I75" i="1"/>
  <c r="I76" i="1"/>
  <c r="I77" i="1"/>
  <c r="I78" i="1"/>
  <c r="I72" i="1"/>
  <c r="I66" i="1"/>
  <c r="I67" i="1"/>
  <c r="I68" i="1"/>
  <c r="I69" i="1"/>
  <c r="I70" i="1"/>
  <c r="I71" i="1"/>
  <c r="I65" i="1"/>
  <c r="I59" i="1"/>
  <c r="I60" i="1"/>
  <c r="I61" i="1"/>
  <c r="I62" i="1"/>
  <c r="I63" i="1"/>
  <c r="I64" i="1"/>
  <c r="I58" i="1"/>
  <c r="I52" i="1"/>
  <c r="I53" i="1"/>
  <c r="I54" i="1"/>
  <c r="I55" i="1"/>
  <c r="I56" i="1"/>
  <c r="I57" i="1"/>
  <c r="I51" i="1"/>
  <c r="I45" i="1"/>
  <c r="I46" i="1"/>
  <c r="I47" i="1"/>
  <c r="I48" i="1"/>
  <c r="I49" i="1"/>
  <c r="I50" i="1"/>
  <c r="I44" i="1"/>
  <c r="I38" i="1"/>
  <c r="I39" i="1"/>
  <c r="I40" i="1"/>
  <c r="I41" i="1"/>
  <c r="I42" i="1"/>
  <c r="I43" i="1"/>
  <c r="I37" i="1"/>
  <c r="I31" i="1"/>
  <c r="I32" i="1"/>
  <c r="I33" i="1"/>
  <c r="I34" i="1"/>
  <c r="I35" i="1"/>
  <c r="I36" i="1"/>
  <c r="I30" i="1"/>
  <c r="I24" i="1"/>
  <c r="I25" i="1"/>
  <c r="I26" i="1"/>
  <c r="I27" i="1"/>
  <c r="I28" i="1"/>
  <c r="I29" i="1"/>
  <c r="I23" i="1"/>
  <c r="I17" i="1"/>
  <c r="I18" i="1"/>
  <c r="I19" i="1"/>
  <c r="I20" i="1"/>
  <c r="I21" i="1"/>
  <c r="I22" i="1"/>
  <c r="I16" i="1"/>
  <c r="I10" i="1"/>
  <c r="I11" i="1"/>
  <c r="I12" i="1"/>
  <c r="I13" i="1"/>
  <c r="I14" i="1"/>
  <c r="I15" i="1"/>
  <c r="I9" i="1"/>
  <c r="I3" i="1"/>
  <c r="I4" i="1"/>
  <c r="I5" i="1"/>
  <c r="I6" i="1"/>
  <c r="I7" i="1"/>
  <c r="I8" i="1"/>
  <c r="I2" i="1"/>
</calcChain>
</file>

<file path=xl/sharedStrings.xml><?xml version="1.0" encoding="utf-8"?>
<sst xmlns="http://schemas.openxmlformats.org/spreadsheetml/2006/main" count="80" uniqueCount="24">
  <si>
    <t>Input Arrays</t>
  </si>
  <si>
    <t>Cluster</t>
  </si>
  <si>
    <t>Execution Time (s)</t>
  </si>
  <si>
    <t>10^4</t>
  </si>
  <si>
    <t>10^5</t>
  </si>
  <si>
    <t>10^6</t>
  </si>
  <si>
    <t>Threads</t>
  </si>
  <si>
    <t>Speed Up</t>
  </si>
  <si>
    <t>Dimension</t>
  </si>
  <si>
    <t>Timesteps</t>
  </si>
  <si>
    <t>Execution Time (ns)</t>
  </si>
  <si>
    <t>Cluster 2</t>
  </si>
  <si>
    <t>Cluster 4</t>
  </si>
  <si>
    <t>Cluster 6</t>
  </si>
  <si>
    <t>Cluster 8</t>
  </si>
  <si>
    <t>Cluster 16</t>
  </si>
  <si>
    <t>Sum</t>
  </si>
  <si>
    <t>Average</t>
  </si>
  <si>
    <t>Running Total</t>
  </si>
  <si>
    <t>Count</t>
  </si>
  <si>
    <t>Timesteps 4</t>
  </si>
  <si>
    <t>Timesteps 16</t>
  </si>
  <si>
    <t>Timesteps 64</t>
  </si>
  <si>
    <t>Timesteps 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</si>
</sst>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2F5496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2CC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2" borderId="5" xfId="0" applyFont="1" applyFill="1" applyBorder="1" applyAlignment="1">
      <alignment horizontal="justify" vertical="center" wrapText="1"/>
    </xf>
    <xf numFmtId="0" fontId="1" fillId="3" borderId="5" xfId="0" applyFont="1" applyFill="1" applyBorder="1" applyAlignment="1">
      <alignment horizontal="justify" vertical="center" wrapText="1"/>
    </xf>
    <xf numFmtId="0" fontId="1" fillId="4" borderId="5" xfId="0" applyFont="1" applyFill="1" applyBorder="1" applyAlignment="1">
      <alignment horizontal="justify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4" borderId="9" xfId="0" applyFont="1" applyFill="1" applyBorder="1" applyAlignment="1">
      <alignment horizontal="justify" vertical="center" wrapText="1"/>
    </xf>
    <xf numFmtId="0" fontId="1" fillId="2" borderId="8" xfId="0" applyFont="1" applyFill="1" applyBorder="1" applyAlignment="1">
      <alignment horizontal="justify" vertical="center" wrapText="1"/>
    </xf>
    <xf numFmtId="0" fontId="1" fillId="4" borderId="8" xfId="0" applyFont="1" applyFill="1" applyBorder="1" applyAlignment="1">
      <alignment horizontal="justify" vertical="center" wrapText="1"/>
    </xf>
    <xf numFmtId="0" fontId="1" fillId="3" borderId="8" xfId="0" applyFont="1" applyFill="1" applyBorder="1" applyAlignment="1">
      <alignment horizontal="justify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justify" vertical="center" wrapText="1"/>
    </xf>
    <xf numFmtId="0" fontId="1" fillId="5" borderId="8" xfId="0" applyFont="1" applyFill="1" applyBorder="1" applyAlignment="1">
      <alignment horizontal="justify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justify" vertical="center" wrapText="1"/>
    </xf>
    <xf numFmtId="0" fontId="1" fillId="3" borderId="4" xfId="0" applyFont="1" applyFill="1" applyBorder="1" applyAlignment="1">
      <alignment horizontal="justify" vertical="center" wrapText="1"/>
    </xf>
    <xf numFmtId="0" fontId="1" fillId="3" borderId="8" xfId="0" applyFont="1" applyFill="1" applyBorder="1" applyAlignment="1">
      <alignment horizontal="justify" vertical="center" wrapText="1"/>
    </xf>
    <xf numFmtId="0" fontId="1" fillId="5" borderId="6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6" xfId="0" applyFont="1" applyFill="1" applyBorder="1" applyAlignment="1">
      <alignment horizontal="justify" vertical="center" wrapText="1"/>
    </xf>
    <xf numFmtId="0" fontId="1" fillId="5" borderId="4" xfId="0" applyFont="1" applyFill="1" applyBorder="1" applyAlignment="1">
      <alignment horizontal="justify" vertical="center" wrapText="1"/>
    </xf>
    <xf numFmtId="0" fontId="1" fillId="5" borderId="8" xfId="0" applyFont="1" applyFill="1" applyBorder="1" applyAlignment="1">
      <alignment horizontal="justify" vertical="center" wrapText="1"/>
    </xf>
    <xf numFmtId="0" fontId="1" fillId="2" borderId="6" xfId="0" applyFont="1" applyFill="1" applyBorder="1" applyAlignment="1">
      <alignment horizontal="justify" vertical="center" wrapText="1"/>
    </xf>
    <xf numFmtId="0" fontId="1" fillId="2" borderId="4" xfId="0" applyFont="1" applyFill="1" applyBorder="1" applyAlignment="1">
      <alignment horizontal="justify" vertical="center" wrapText="1"/>
    </xf>
    <xf numFmtId="0" fontId="1" fillId="2" borderId="8" xfId="0" applyFont="1" applyFill="1" applyBorder="1" applyAlignment="1">
      <alignment horizontal="justify" vertical="center" wrapText="1"/>
    </xf>
    <xf numFmtId="0" fontId="1" fillId="4" borderId="6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4" borderId="8" xfId="0" applyFont="1" applyFill="1" applyBorder="1" applyAlignment="1">
      <alignment horizontal="left" vertical="center" wrapText="1"/>
    </xf>
    <xf numFmtId="0" fontId="1" fillId="4" borderId="6" xfId="0" applyFont="1" applyFill="1" applyBorder="1" applyAlignment="1">
      <alignment horizontal="justify" vertical="center" wrapText="1"/>
    </xf>
    <xf numFmtId="0" fontId="1" fillId="4" borderId="4" xfId="0" applyFont="1" applyFill="1" applyBorder="1" applyAlignment="1">
      <alignment horizontal="justify" vertical="center" wrapText="1"/>
    </xf>
    <xf numFmtId="0" fontId="1" fillId="4" borderId="8" xfId="0" applyFont="1" applyFill="1" applyBorder="1" applyAlignment="1">
      <alignment horizontal="justify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1" fillId="3" borderId="7" xfId="0" applyFont="1" applyFill="1" applyBorder="1" applyAlignment="1">
      <alignment horizontal="justify" vertical="center" wrapText="1"/>
    </xf>
    <xf numFmtId="0" fontId="1" fillId="3" borderId="3" xfId="0" applyFont="1" applyFill="1" applyBorder="1" applyAlignment="1">
      <alignment horizontal="justify" vertical="center" wrapText="1"/>
    </xf>
    <xf numFmtId="0" fontId="1" fillId="4" borderId="7" xfId="0" applyFont="1" applyFill="1" applyBorder="1" applyAlignment="1">
      <alignment horizontal="justify" vertical="center" wrapText="1"/>
    </xf>
    <xf numFmtId="0" fontId="1" fillId="4" borderId="3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justify" vertical="center" wrapText="1"/>
    </xf>
    <xf numFmtId="0" fontId="0" fillId="0" borderId="10" xfId="0" applyBorder="1"/>
    <xf numFmtId="0" fontId="1" fillId="2" borderId="10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Speed</a:t>
            </a:r>
            <a:r>
              <a:rPr lang="en-MY" baseline="0"/>
              <a:t> Up vs Number of Threads (10^4) 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Sheet1!$V$1</c:f>
              <c:strCache>
                <c:ptCount val="1"/>
                <c:pt idx="0">
                  <c:v>Cluster 2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Sheet1!$U$2:$U$8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Sheet1!$V$2:$V$8</c:f>
              <c:numCache>
                <c:formatCode>General</c:formatCode>
                <c:ptCount val="7"/>
                <c:pt idx="0">
                  <c:v>0.97288792099999999</c:v>
                </c:pt>
                <c:pt idx="1">
                  <c:v>1.399007919</c:v>
                </c:pt>
                <c:pt idx="2">
                  <c:v>2.3174282829999999</c:v>
                </c:pt>
                <c:pt idx="3">
                  <c:v>3.4066539520000001</c:v>
                </c:pt>
                <c:pt idx="4">
                  <c:v>6.0940106140000001</c:v>
                </c:pt>
                <c:pt idx="5">
                  <c:v>1.1059438640000001</c:v>
                </c:pt>
                <c:pt idx="6">
                  <c:v>1.59960199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85-4786-A69A-A6BC7DB11B01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Cluster 4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Sheet1!$U$2:$U$8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Sheet1!$W$2:$W$8</c:f>
              <c:numCache>
                <c:formatCode>General</c:formatCode>
                <c:ptCount val="7"/>
                <c:pt idx="0">
                  <c:v>0.97595757800000005</c:v>
                </c:pt>
                <c:pt idx="1">
                  <c:v>1.6051335879999999</c:v>
                </c:pt>
                <c:pt idx="2">
                  <c:v>2.475614422</c:v>
                </c:pt>
                <c:pt idx="3">
                  <c:v>4.5951158220000003</c:v>
                </c:pt>
                <c:pt idx="4">
                  <c:v>8.744957372</c:v>
                </c:pt>
                <c:pt idx="5">
                  <c:v>0.83400926099999995</c:v>
                </c:pt>
                <c:pt idx="6">
                  <c:v>2.89591654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85-4786-A69A-A6BC7DB11B01}"/>
            </c:ext>
          </c:extLst>
        </c:ser>
        <c:ser>
          <c:idx val="3"/>
          <c:order val="3"/>
          <c:tx>
            <c:strRef>
              <c:f>Sheet1!$X$1</c:f>
              <c:strCache>
                <c:ptCount val="1"/>
                <c:pt idx="0">
                  <c:v>Cluster 6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Sheet1!$U$2:$U$8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Sheet1!$X$2:$X$8</c:f>
              <c:numCache>
                <c:formatCode>General</c:formatCode>
                <c:ptCount val="7"/>
                <c:pt idx="0">
                  <c:v>0.99809230699999996</c:v>
                </c:pt>
                <c:pt idx="1">
                  <c:v>1.568551751</c:v>
                </c:pt>
                <c:pt idx="2">
                  <c:v>2.9352439929999998</c:v>
                </c:pt>
                <c:pt idx="3">
                  <c:v>4.8791184620000001</c:v>
                </c:pt>
                <c:pt idx="4">
                  <c:v>9.0722231309999994</c:v>
                </c:pt>
                <c:pt idx="5">
                  <c:v>4.4903850050000003</c:v>
                </c:pt>
                <c:pt idx="6">
                  <c:v>3.9120022570000001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85-4786-A69A-A6BC7DB11B01}"/>
            </c:ext>
          </c:extLst>
        </c:ser>
        <c:ser>
          <c:idx val="4"/>
          <c:order val="4"/>
          <c:tx>
            <c:strRef>
              <c:f>Sheet1!$Y$1</c:f>
              <c:strCache>
                <c:ptCount val="1"/>
                <c:pt idx="0">
                  <c:v>Cluster 8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Sheet1!$U$2:$U$8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Sheet1!$Y$2:$Y$8</c:f>
              <c:numCache>
                <c:formatCode>General</c:formatCode>
                <c:ptCount val="7"/>
                <c:pt idx="0">
                  <c:v>0.99511492700000004</c:v>
                </c:pt>
                <c:pt idx="1">
                  <c:v>1.9761098939999999</c:v>
                </c:pt>
                <c:pt idx="2">
                  <c:v>3.049717893</c:v>
                </c:pt>
                <c:pt idx="3">
                  <c:v>6.028711833</c:v>
                </c:pt>
                <c:pt idx="4">
                  <c:v>10.78486764</c:v>
                </c:pt>
                <c:pt idx="5">
                  <c:v>9.7766833809999998</c:v>
                </c:pt>
                <c:pt idx="6">
                  <c:v>4.6489823719999999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85-4786-A69A-A6BC7DB11B01}"/>
            </c:ext>
          </c:extLst>
        </c:ser>
        <c:ser>
          <c:idx val="5"/>
          <c:order val="5"/>
          <c:tx>
            <c:strRef>
              <c:f>Sheet1!$Z$1</c:f>
              <c:strCache>
                <c:ptCount val="1"/>
                <c:pt idx="0">
                  <c:v>Cluster 16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Sheet1!$U$2:$U$8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Sheet1!$Z$2:$Z$8</c:f>
              <c:numCache>
                <c:formatCode>General</c:formatCode>
                <c:ptCount val="7"/>
                <c:pt idx="0">
                  <c:v>1.0024776120000001</c:v>
                </c:pt>
                <c:pt idx="1">
                  <c:v>1.995092914</c:v>
                </c:pt>
                <c:pt idx="2">
                  <c:v>3.7284616750000001</c:v>
                </c:pt>
                <c:pt idx="3">
                  <c:v>7.0874134729999998</c:v>
                </c:pt>
                <c:pt idx="4">
                  <c:v>12.907602430000001</c:v>
                </c:pt>
                <c:pt idx="5">
                  <c:v>7.6196850749999996</c:v>
                </c:pt>
                <c:pt idx="6">
                  <c:v>6.9214756800000004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F85-4786-A69A-A6BC7DB11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968144"/>
        <c:axId val="6197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Sheet1!$U$1</c15:sqref>
                        </c15:formulaRef>
                      </c:ext>
                    </c:extLst>
                    <c:strCache>
                      <c:ptCount val="1"/>
                      <c:pt idx="0">
                        <c:v>Threads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Sheet1!$U$2:$U$8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Sheet1!$U$2:$U$8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F85-4786-A69A-A6BC7DB11B0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Cluster 2</c:v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Sheet1!$U$2:$U$8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Sheet1!$V$2:$V$8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0.97288792099999999</c:v>
                      </c:pt>
                      <c:pt idx="1">
                        <c:v>1.399007919</c:v>
                      </c:pt>
                      <c:pt idx="2">
                        <c:v>2.3174282829999999</c:v>
                      </c:pt>
                      <c:pt idx="3">
                        <c:v>3.4066539520000001</c:v>
                      </c:pt>
                      <c:pt idx="4">
                        <c:v>6.0940106140000001</c:v>
                      </c:pt>
                      <c:pt idx="5">
                        <c:v>1.1059438640000001</c:v>
                      </c:pt>
                      <c:pt idx="6">
                        <c:v>1.59960199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BF85-4786-A69A-A6BC7DB11B01}"/>
                  </c:ext>
                </c:extLst>
              </c15:ser>
            </c15:filteredLineSeries>
          </c:ext>
        </c:extLst>
      </c:lineChart>
      <c:catAx>
        <c:axId val="61968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Number</a:t>
                </a:r>
                <a:r>
                  <a:rPr lang="en-MY" baseline="0"/>
                  <a:t> of Threads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72944"/>
        <c:crosses val="autoZero"/>
        <c:auto val="1"/>
        <c:lblAlgn val="ctr"/>
        <c:lblOffset val="100"/>
        <c:noMultiLvlLbl val="0"/>
      </c:catAx>
      <c:valAx>
        <c:axId val="61972944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Speed 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68144"/>
        <c:crosses val="autoZero"/>
        <c:crossBetween val="between"/>
      </c:valAx>
      <c:spPr>
        <a:noFill/>
        <a:ln w="0">
          <a:solidFill>
            <a:schemeClr val="tx1">
              <a:lumMod val="15000"/>
              <a:lumOff val="85000"/>
              <a:alpha val="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Speed</a:t>
            </a:r>
            <a:r>
              <a:rPr lang="en-MY" baseline="0"/>
              <a:t> Up vs Number of Threads (10^5) 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Sheet1!$V$11</c:f>
              <c:strCache>
                <c:ptCount val="1"/>
                <c:pt idx="0">
                  <c:v>Cluster 2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Sheet1!$U$2:$U$8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Sheet1!$V$12:$V$18</c:f>
              <c:numCache>
                <c:formatCode>General</c:formatCode>
                <c:ptCount val="7"/>
                <c:pt idx="0">
                  <c:v>0.98312548399999999</c:v>
                </c:pt>
                <c:pt idx="1">
                  <c:v>1.2042115259999999</c:v>
                </c:pt>
                <c:pt idx="2">
                  <c:v>2.0101080429999998</c:v>
                </c:pt>
                <c:pt idx="3">
                  <c:v>3.7948055479999998</c:v>
                </c:pt>
                <c:pt idx="4">
                  <c:v>7.126404494</c:v>
                </c:pt>
                <c:pt idx="5">
                  <c:v>9.4036841510000002</c:v>
                </c:pt>
                <c:pt idx="6">
                  <c:v>7.8837045059999999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32-44E2-9167-F3A3B56E2C30}"/>
            </c:ext>
          </c:extLst>
        </c:ser>
        <c:ser>
          <c:idx val="2"/>
          <c:order val="2"/>
          <c:tx>
            <c:strRef>
              <c:f>Sheet1!$W$11</c:f>
              <c:strCache>
                <c:ptCount val="1"/>
                <c:pt idx="0">
                  <c:v>Cluster 4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Sheet1!$U$2:$U$8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Sheet1!$W$12:$W$18</c:f>
              <c:numCache>
                <c:formatCode>General</c:formatCode>
                <c:ptCount val="7"/>
                <c:pt idx="0">
                  <c:v>0.97823137599999999</c:v>
                </c:pt>
                <c:pt idx="1">
                  <c:v>1.3669172700000001</c:v>
                </c:pt>
                <c:pt idx="2">
                  <c:v>2.6021671639999999</c:v>
                </c:pt>
                <c:pt idx="3">
                  <c:v>4.8693875520000001</c:v>
                </c:pt>
                <c:pt idx="4">
                  <c:v>9.4572402990000004</c:v>
                </c:pt>
                <c:pt idx="5">
                  <c:v>10.716297839999999</c:v>
                </c:pt>
                <c:pt idx="6">
                  <c:v>11.047230089999999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32-44E2-9167-F3A3B56E2C30}"/>
            </c:ext>
          </c:extLst>
        </c:ser>
        <c:ser>
          <c:idx val="3"/>
          <c:order val="3"/>
          <c:tx>
            <c:strRef>
              <c:f>Sheet1!$X$11</c:f>
              <c:strCache>
                <c:ptCount val="1"/>
                <c:pt idx="0">
                  <c:v>Cluster 6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Sheet1!$U$2:$U$8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Sheet1!$X$12:$X$18</c:f>
              <c:numCache>
                <c:formatCode>General</c:formatCode>
                <c:ptCount val="7"/>
                <c:pt idx="0">
                  <c:v>0.99901791100000004</c:v>
                </c:pt>
                <c:pt idx="1">
                  <c:v>1.459086466</c:v>
                </c:pt>
                <c:pt idx="2">
                  <c:v>2.5101429350000002</c:v>
                </c:pt>
                <c:pt idx="3">
                  <c:v>5.1680096080000002</c:v>
                </c:pt>
                <c:pt idx="4">
                  <c:v>10.15366805</c:v>
                </c:pt>
                <c:pt idx="5">
                  <c:v>10.77295861</c:v>
                </c:pt>
                <c:pt idx="6">
                  <c:v>12.848625459999999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32-44E2-9167-F3A3B56E2C30}"/>
            </c:ext>
          </c:extLst>
        </c:ser>
        <c:ser>
          <c:idx val="4"/>
          <c:order val="4"/>
          <c:tx>
            <c:strRef>
              <c:f>Sheet1!$Y$11</c:f>
              <c:strCache>
                <c:ptCount val="1"/>
                <c:pt idx="0">
                  <c:v>Cluster 8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Sheet1!$U$2:$U$8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Sheet1!$Y$12:$Y$18</c:f>
              <c:numCache>
                <c:formatCode>General</c:formatCode>
                <c:ptCount val="7"/>
                <c:pt idx="0">
                  <c:v>0.99551896399999995</c:v>
                </c:pt>
                <c:pt idx="1">
                  <c:v>1.416946214</c:v>
                </c:pt>
                <c:pt idx="2">
                  <c:v>3.1253792119999999</c:v>
                </c:pt>
                <c:pt idx="3">
                  <c:v>5.8920426250000002</c:v>
                </c:pt>
                <c:pt idx="4">
                  <c:v>11.66759605</c:v>
                </c:pt>
                <c:pt idx="5">
                  <c:v>16.276901970000001</c:v>
                </c:pt>
                <c:pt idx="6">
                  <c:v>16.924003379999998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32-44E2-9167-F3A3B56E2C30}"/>
            </c:ext>
          </c:extLst>
        </c:ser>
        <c:ser>
          <c:idx val="5"/>
          <c:order val="5"/>
          <c:tx>
            <c:strRef>
              <c:f>Sheet1!$Z$11</c:f>
              <c:strCache>
                <c:ptCount val="1"/>
                <c:pt idx="0">
                  <c:v>Cluster 16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Sheet1!$U$2:$U$8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Sheet1!$Z$12:$Z$18</c:f>
              <c:numCache>
                <c:formatCode>General</c:formatCode>
                <c:ptCount val="7"/>
                <c:pt idx="0">
                  <c:v>1.0045358600000001</c:v>
                </c:pt>
                <c:pt idx="1">
                  <c:v>1.8085352219999999</c:v>
                </c:pt>
                <c:pt idx="2">
                  <c:v>3.511041708</c:v>
                </c:pt>
                <c:pt idx="3">
                  <c:v>6.5510017390000002</c:v>
                </c:pt>
                <c:pt idx="4">
                  <c:v>13.77003742</c:v>
                </c:pt>
                <c:pt idx="5">
                  <c:v>21.696282960000001</c:v>
                </c:pt>
                <c:pt idx="6">
                  <c:v>22.217570970000001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32-44E2-9167-F3A3B56E2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968144"/>
        <c:axId val="6197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Sheet1!$Y$11</c15:sqref>
                        </c15:formulaRef>
                      </c:ext>
                    </c:extLst>
                    <c:strCache>
                      <c:ptCount val="1"/>
                      <c:pt idx="0">
                        <c:v>Cluster 8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Sheet1!$U$2:$U$8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Sheet1!$Y$12:$Y$18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0.99551896399999995</c:v>
                      </c:pt>
                      <c:pt idx="1">
                        <c:v>1.416946214</c:v>
                      </c:pt>
                      <c:pt idx="2">
                        <c:v>3.1253792119999999</c:v>
                      </c:pt>
                      <c:pt idx="3">
                        <c:v>5.8920426250000002</c:v>
                      </c:pt>
                      <c:pt idx="4">
                        <c:v>11.66759605</c:v>
                      </c:pt>
                      <c:pt idx="5">
                        <c:v>16.276901970000001</c:v>
                      </c:pt>
                      <c:pt idx="6">
                        <c:v>16.924003379999998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B32-44E2-9167-F3A3B56E2C3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Cluster 2</c:v>
                </c:tx>
                <c:spPr>
                  <a:ln w="28575" cap="rnd">
                    <a:solidFill>
                      <a:schemeClr val="bg2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Sheet1!$U$2:$U$8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Sheet1!$V$2:$V$8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0.97288792099999999</c:v>
                      </c:pt>
                      <c:pt idx="1">
                        <c:v>1.399007919</c:v>
                      </c:pt>
                      <c:pt idx="2">
                        <c:v>2.3174282829999999</c:v>
                      </c:pt>
                      <c:pt idx="3">
                        <c:v>3.4066539520000001</c:v>
                      </c:pt>
                      <c:pt idx="4">
                        <c:v>6.0940106140000001</c:v>
                      </c:pt>
                      <c:pt idx="5">
                        <c:v>1.1059438640000001</c:v>
                      </c:pt>
                      <c:pt idx="6">
                        <c:v>1.59960199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FB32-44E2-9167-F3A3B56E2C30}"/>
                  </c:ext>
                </c:extLst>
              </c15:ser>
            </c15:filteredLineSeries>
          </c:ext>
        </c:extLst>
      </c:lineChart>
      <c:catAx>
        <c:axId val="61968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Number</a:t>
                </a:r>
                <a:r>
                  <a:rPr lang="en-MY" baseline="0"/>
                  <a:t> of Threads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72944"/>
        <c:crosses val="autoZero"/>
        <c:auto val="1"/>
        <c:lblAlgn val="ctr"/>
        <c:lblOffset val="100"/>
        <c:noMultiLvlLbl val="0"/>
      </c:catAx>
      <c:valAx>
        <c:axId val="61972944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Speed 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68144"/>
        <c:crosses val="autoZero"/>
        <c:crossBetween val="between"/>
      </c:valAx>
      <c:spPr>
        <a:noFill/>
        <a:ln w="0">
          <a:solidFill>
            <a:schemeClr val="tx1">
              <a:lumMod val="15000"/>
              <a:lumOff val="85000"/>
              <a:alpha val="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Speed</a:t>
            </a:r>
            <a:r>
              <a:rPr lang="en-MY" baseline="0"/>
              <a:t> Up vs Number of Threads (10^6) 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Sheet1!$V$22</c:f>
              <c:strCache>
                <c:ptCount val="1"/>
                <c:pt idx="0">
                  <c:v>Cluster 2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Sheet1!$U$2:$U$8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Sheet1!$V$23:$V$29</c:f>
              <c:numCache>
                <c:formatCode>General</c:formatCode>
                <c:ptCount val="7"/>
                <c:pt idx="0">
                  <c:v>0.98365251499999995</c:v>
                </c:pt>
                <c:pt idx="1">
                  <c:v>0.96738931800000005</c:v>
                </c:pt>
                <c:pt idx="2">
                  <c:v>1.4379378350000001</c:v>
                </c:pt>
                <c:pt idx="3">
                  <c:v>3.7038612419999999</c:v>
                </c:pt>
                <c:pt idx="4">
                  <c:v>7.2168137459999997</c:v>
                </c:pt>
                <c:pt idx="5">
                  <c:v>9.359539539</c:v>
                </c:pt>
                <c:pt idx="6">
                  <c:v>13.736813100000001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16-4338-A983-DF81AF6A0F17}"/>
            </c:ext>
          </c:extLst>
        </c:ser>
        <c:ser>
          <c:idx val="2"/>
          <c:order val="2"/>
          <c:tx>
            <c:strRef>
              <c:f>Sheet1!$W$22</c:f>
              <c:strCache>
                <c:ptCount val="1"/>
                <c:pt idx="0">
                  <c:v>Cluster 4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Sheet1!$U$2:$U$8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Sheet1!$W$23:$W$29</c:f>
              <c:numCache>
                <c:formatCode>General</c:formatCode>
                <c:ptCount val="7"/>
                <c:pt idx="0">
                  <c:v>0.98092261400000003</c:v>
                </c:pt>
                <c:pt idx="1">
                  <c:v>1.004783121</c:v>
                </c:pt>
                <c:pt idx="2">
                  <c:v>1.633295014</c:v>
                </c:pt>
                <c:pt idx="3">
                  <c:v>3.629358667</c:v>
                </c:pt>
                <c:pt idx="4">
                  <c:v>8.3740066599999992</c:v>
                </c:pt>
                <c:pt idx="5">
                  <c:v>15.275947410000001</c:v>
                </c:pt>
                <c:pt idx="6">
                  <c:v>18.688976780000001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16-4338-A983-DF81AF6A0F17}"/>
            </c:ext>
          </c:extLst>
        </c:ser>
        <c:ser>
          <c:idx val="3"/>
          <c:order val="3"/>
          <c:tx>
            <c:strRef>
              <c:f>Sheet1!$X$22</c:f>
              <c:strCache>
                <c:ptCount val="1"/>
                <c:pt idx="0">
                  <c:v>Cluster 6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Sheet1!$U$2:$U$8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Sheet1!$X$23:$X$29</c:f>
              <c:numCache>
                <c:formatCode>General</c:formatCode>
                <c:ptCount val="7"/>
                <c:pt idx="0">
                  <c:v>1.0000506339999999</c:v>
                </c:pt>
                <c:pt idx="1">
                  <c:v>1.4272615360000001</c:v>
                </c:pt>
                <c:pt idx="2">
                  <c:v>2.1767274300000001</c:v>
                </c:pt>
                <c:pt idx="3">
                  <c:v>4.5705638420000003</c:v>
                </c:pt>
                <c:pt idx="4">
                  <c:v>8.2563989870000007</c:v>
                </c:pt>
                <c:pt idx="5">
                  <c:v>13.57118717</c:v>
                </c:pt>
                <c:pt idx="6">
                  <c:v>21.50663544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16-4338-A983-DF81AF6A0F17}"/>
            </c:ext>
          </c:extLst>
        </c:ser>
        <c:ser>
          <c:idx val="4"/>
          <c:order val="4"/>
          <c:tx>
            <c:strRef>
              <c:f>Sheet1!$Y$22</c:f>
              <c:strCache>
                <c:ptCount val="1"/>
                <c:pt idx="0">
                  <c:v>Cluster 8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Sheet1!$U$2:$U$8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Sheet1!$Y$23:$Y$29</c:f>
              <c:numCache>
                <c:formatCode>General</c:formatCode>
                <c:ptCount val="7"/>
                <c:pt idx="0">
                  <c:v>0.99600524499999998</c:v>
                </c:pt>
                <c:pt idx="1">
                  <c:v>1.3965546849999999</c:v>
                </c:pt>
                <c:pt idx="2">
                  <c:v>2.449835464</c:v>
                </c:pt>
                <c:pt idx="3">
                  <c:v>5.4508566480000002</c:v>
                </c:pt>
                <c:pt idx="4">
                  <c:v>9.9722600900000007</c:v>
                </c:pt>
                <c:pt idx="5">
                  <c:v>17.291604199999998</c:v>
                </c:pt>
                <c:pt idx="6">
                  <c:v>25.127237560000001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16-4338-A983-DF81AF6A0F17}"/>
            </c:ext>
          </c:extLst>
        </c:ser>
        <c:ser>
          <c:idx val="5"/>
          <c:order val="5"/>
          <c:tx>
            <c:strRef>
              <c:f>Sheet1!$Z$22</c:f>
              <c:strCache>
                <c:ptCount val="1"/>
                <c:pt idx="0">
                  <c:v>Cluster 16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Sheet1!$U$2:$U$8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Sheet1!$Z$23:$Z$29</c:f>
              <c:numCache>
                <c:formatCode>General</c:formatCode>
                <c:ptCount val="7"/>
                <c:pt idx="0">
                  <c:v>1.0040362249999999</c:v>
                </c:pt>
                <c:pt idx="1">
                  <c:v>1.7927843160000001</c:v>
                </c:pt>
                <c:pt idx="2">
                  <c:v>3.705332501</c:v>
                </c:pt>
                <c:pt idx="3">
                  <c:v>7.0704381100000004</c:v>
                </c:pt>
                <c:pt idx="4">
                  <c:v>13.71879019</c:v>
                </c:pt>
                <c:pt idx="5">
                  <c:v>27.784403520000001</c:v>
                </c:pt>
                <c:pt idx="6">
                  <c:v>29.815442839999999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16-4338-A983-DF81AF6A0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968144"/>
        <c:axId val="6197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Sheet1!$U$1</c15:sqref>
                        </c15:formulaRef>
                      </c:ext>
                    </c:extLst>
                    <c:strCache>
                      <c:ptCount val="1"/>
                      <c:pt idx="0">
                        <c:v>Threads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Sheet1!$U$2:$U$8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Sheet1!$U$2:$U$8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B116-4338-A983-DF81AF6A0F1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Cluster 2</c:v>
                </c:tx>
                <c:spPr>
                  <a:ln w="28575" cap="rnd">
                    <a:solidFill>
                      <a:schemeClr val="bg2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Sheet1!$U$2:$U$8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Sheet1!$V$2:$V$8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0.97288792099999999</c:v>
                      </c:pt>
                      <c:pt idx="1">
                        <c:v>1.399007919</c:v>
                      </c:pt>
                      <c:pt idx="2">
                        <c:v>2.3174282829999999</c:v>
                      </c:pt>
                      <c:pt idx="3">
                        <c:v>3.4066539520000001</c:v>
                      </c:pt>
                      <c:pt idx="4">
                        <c:v>6.0940106140000001</c:v>
                      </c:pt>
                      <c:pt idx="5">
                        <c:v>1.1059438640000001</c:v>
                      </c:pt>
                      <c:pt idx="6">
                        <c:v>1.59960199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B116-4338-A983-DF81AF6A0F17}"/>
                  </c:ext>
                </c:extLst>
              </c15:ser>
            </c15:filteredLineSeries>
          </c:ext>
        </c:extLst>
      </c:lineChart>
      <c:catAx>
        <c:axId val="61968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Number</a:t>
                </a:r>
                <a:r>
                  <a:rPr lang="en-MY" baseline="0"/>
                  <a:t> of Threads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72944"/>
        <c:crosses val="autoZero"/>
        <c:auto val="1"/>
        <c:lblAlgn val="ctr"/>
        <c:lblOffset val="100"/>
        <c:noMultiLvlLbl val="0"/>
      </c:catAx>
      <c:valAx>
        <c:axId val="61972944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Speed 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68144"/>
        <c:crosses val="autoZero"/>
        <c:crossBetween val="between"/>
      </c:valAx>
      <c:spPr>
        <a:noFill/>
        <a:ln w="0">
          <a:solidFill>
            <a:schemeClr val="tx1">
              <a:lumMod val="15000"/>
              <a:lumOff val="85000"/>
              <a:alpha val="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Speed Up vs Number of Threads (Dimension</a:t>
            </a:r>
            <a:r>
              <a:rPr lang="en-MY" baseline="0"/>
              <a:t> = 18)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Sheet2!$T$1</c:f>
              <c:strCache>
                <c:ptCount val="1"/>
                <c:pt idx="0">
                  <c:v>Timesteps 4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Sheet2!$S$2:$S$8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Sheet2!$T$2:$T$8</c:f>
              <c:numCache>
                <c:formatCode>General</c:formatCode>
                <c:ptCount val="7"/>
                <c:pt idx="0">
                  <c:v>0.101549865</c:v>
                </c:pt>
                <c:pt idx="1">
                  <c:v>2.9719763E-2</c:v>
                </c:pt>
                <c:pt idx="2">
                  <c:v>1.8330434E-2</c:v>
                </c:pt>
                <c:pt idx="3">
                  <c:v>1.1047009999999999E-2</c:v>
                </c:pt>
                <c:pt idx="4">
                  <c:v>5.6096540000000004E-3</c:v>
                </c:pt>
                <c:pt idx="5">
                  <c:v>1.2228400000000001E-4</c:v>
                </c:pt>
                <c:pt idx="6">
                  <c:v>9.2389700000000002E-4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7A-43E4-91D8-B57079987AAF}"/>
            </c:ext>
          </c:extLst>
        </c:ser>
        <c:ser>
          <c:idx val="2"/>
          <c:order val="2"/>
          <c:tx>
            <c:strRef>
              <c:f>Sheet2!$U$1</c:f>
              <c:strCache>
                <c:ptCount val="1"/>
                <c:pt idx="0">
                  <c:v>Timesteps 16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Sheet2!$S$2:$S$8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Sheet2!$U$2:$U$8</c:f>
              <c:numCache>
                <c:formatCode>General</c:formatCode>
                <c:ptCount val="7"/>
                <c:pt idx="0">
                  <c:v>0.16925802600000001</c:v>
                </c:pt>
                <c:pt idx="1">
                  <c:v>5.5410000000000001E-2</c:v>
                </c:pt>
                <c:pt idx="2">
                  <c:v>3.8733084000000001E-2</c:v>
                </c:pt>
                <c:pt idx="3">
                  <c:v>2.6456012000000001E-2</c:v>
                </c:pt>
                <c:pt idx="4">
                  <c:v>1.6377017000000001E-2</c:v>
                </c:pt>
                <c:pt idx="5">
                  <c:v>3.7454399999999998E-4</c:v>
                </c:pt>
                <c:pt idx="6">
                  <c:v>1.3667219999999999E-3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7A-43E4-91D8-B57079987AAF}"/>
            </c:ext>
          </c:extLst>
        </c:ser>
        <c:ser>
          <c:idx val="3"/>
          <c:order val="3"/>
          <c:tx>
            <c:strRef>
              <c:f>Sheet2!$V$1</c:f>
              <c:strCache>
                <c:ptCount val="1"/>
                <c:pt idx="0">
                  <c:v>Timesteps 64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Sheet2!$S$2:$S$8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Sheet2!$V$2:$V$8</c:f>
              <c:numCache>
                <c:formatCode>General</c:formatCode>
                <c:ptCount val="7"/>
                <c:pt idx="0">
                  <c:v>0.22549428999999999</c:v>
                </c:pt>
                <c:pt idx="1">
                  <c:v>6.5543775999999998E-2</c:v>
                </c:pt>
                <c:pt idx="2">
                  <c:v>5.1639971E-2</c:v>
                </c:pt>
                <c:pt idx="3">
                  <c:v>4.2751569000000003E-2</c:v>
                </c:pt>
                <c:pt idx="4">
                  <c:v>2.9748239999999999E-2</c:v>
                </c:pt>
                <c:pt idx="5">
                  <c:v>7.7265400000000001E-4</c:v>
                </c:pt>
                <c:pt idx="6">
                  <c:v>1.632779E-3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7A-43E4-91D8-B57079987AAF}"/>
            </c:ext>
          </c:extLst>
        </c:ser>
        <c:ser>
          <c:idx val="4"/>
          <c:order val="4"/>
          <c:tx>
            <c:strRef>
              <c:f>Sheet2!$W$1</c:f>
              <c:strCache>
                <c:ptCount val="1"/>
                <c:pt idx="0">
                  <c:v>Timesteps 256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Sheet2!$S$2:$S$8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Sheet2!$W$2:$W$8</c:f>
              <c:numCache>
                <c:formatCode>General</c:formatCode>
                <c:ptCount val="7"/>
                <c:pt idx="0">
                  <c:v>0.24535705899999999</c:v>
                </c:pt>
                <c:pt idx="1">
                  <c:v>6.9691924000000002E-2</c:v>
                </c:pt>
                <c:pt idx="2">
                  <c:v>5.6726018000000003E-2</c:v>
                </c:pt>
                <c:pt idx="3">
                  <c:v>5.1049996E-2</c:v>
                </c:pt>
                <c:pt idx="4">
                  <c:v>3.7997889999999999E-2</c:v>
                </c:pt>
                <c:pt idx="5">
                  <c:v>2.9828379999999998E-3</c:v>
                </c:pt>
                <c:pt idx="6">
                  <c:v>1.711244E-3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7A-43E4-91D8-B57079987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575936"/>
        <c:axId val="4935932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Sheet2!$S$1</c15:sqref>
                        </c15:formulaRef>
                      </c:ext>
                    </c:extLst>
                    <c:strCache>
                      <c:ptCount val="1"/>
                      <c:pt idx="0">
                        <c:v>Threads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Sheet2!$S$2:$S$8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Sheet2!$S$2:$S$8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07A-43E4-91D8-B57079987AAF}"/>
                  </c:ext>
                </c:extLst>
              </c15:ser>
            </c15:filteredLineSeries>
          </c:ext>
        </c:extLst>
      </c:lineChart>
      <c:catAx>
        <c:axId val="493575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Number</a:t>
                </a:r>
                <a:r>
                  <a:rPr lang="en-MY" baseline="0"/>
                  <a:t> of Threads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593216"/>
        <c:crosses val="autoZero"/>
        <c:auto val="1"/>
        <c:lblAlgn val="ctr"/>
        <c:lblOffset val="100"/>
        <c:noMultiLvlLbl val="0"/>
      </c:catAx>
      <c:valAx>
        <c:axId val="49359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Speed 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57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Speed Up vs Number of Threads (Dimension = 66)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Sheet2!$T$30</c:f>
              <c:strCache>
                <c:ptCount val="1"/>
                <c:pt idx="0">
                  <c:v>Timesteps 4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Sheet2!$S$31:$S$37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Sheet2!$T$31:$T$37</c:f>
              <c:numCache>
                <c:formatCode>General</c:formatCode>
                <c:ptCount val="7"/>
                <c:pt idx="0">
                  <c:v>0.57725364800000001</c:v>
                </c:pt>
                <c:pt idx="1">
                  <c:v>0.13974161299999999</c:v>
                </c:pt>
                <c:pt idx="2">
                  <c:v>0.130444321</c:v>
                </c:pt>
                <c:pt idx="3">
                  <c:v>0.103930288</c:v>
                </c:pt>
                <c:pt idx="4">
                  <c:v>6.4265505000000001E-2</c:v>
                </c:pt>
                <c:pt idx="5">
                  <c:v>9.3965699999999999E-4</c:v>
                </c:pt>
                <c:pt idx="6">
                  <c:v>1.2569449999999999E-2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50-42AC-9746-7D6276F75C0C}"/>
            </c:ext>
          </c:extLst>
        </c:ser>
        <c:ser>
          <c:idx val="2"/>
          <c:order val="2"/>
          <c:tx>
            <c:strRef>
              <c:f>Sheet2!$U$30</c:f>
              <c:strCache>
                <c:ptCount val="1"/>
                <c:pt idx="0">
                  <c:v>Timesteps 16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Sheet2!$S$31:$S$37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Sheet2!$U$31:$U$37</c:f>
              <c:numCache>
                <c:formatCode>General</c:formatCode>
                <c:ptCount val="7"/>
                <c:pt idx="0">
                  <c:v>0.63510327</c:v>
                </c:pt>
                <c:pt idx="1">
                  <c:v>0.15825973800000001</c:v>
                </c:pt>
                <c:pt idx="2">
                  <c:v>0.17537445099999999</c:v>
                </c:pt>
                <c:pt idx="3">
                  <c:v>0.174123899</c:v>
                </c:pt>
                <c:pt idx="4">
                  <c:v>0.16031891400000001</c:v>
                </c:pt>
                <c:pt idx="5">
                  <c:v>1.57004E-3</c:v>
                </c:pt>
                <c:pt idx="6">
                  <c:v>1.9723514000000001E-2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50-42AC-9746-7D6276F75C0C}"/>
            </c:ext>
          </c:extLst>
        </c:ser>
        <c:ser>
          <c:idx val="3"/>
          <c:order val="3"/>
          <c:tx>
            <c:strRef>
              <c:f>Sheet2!$V$30</c:f>
              <c:strCache>
                <c:ptCount val="1"/>
                <c:pt idx="0">
                  <c:v>Timesteps 64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Sheet2!$S$31:$S$37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Sheet2!$V$31:$V$37</c:f>
              <c:numCache>
                <c:formatCode>General</c:formatCode>
                <c:ptCount val="7"/>
                <c:pt idx="0">
                  <c:v>0.68022600799999999</c:v>
                </c:pt>
                <c:pt idx="1">
                  <c:v>0.16546119300000001</c:v>
                </c:pt>
                <c:pt idx="2">
                  <c:v>0.18954058200000001</c:v>
                </c:pt>
                <c:pt idx="3">
                  <c:v>0.21022175700000001</c:v>
                </c:pt>
                <c:pt idx="4">
                  <c:v>0.22372810200000001</c:v>
                </c:pt>
                <c:pt idx="5">
                  <c:v>2.5285366E-2</c:v>
                </c:pt>
                <c:pt idx="6">
                  <c:v>2.4189138999999998E-2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50-42AC-9746-7D6276F75C0C}"/>
            </c:ext>
          </c:extLst>
        </c:ser>
        <c:ser>
          <c:idx val="4"/>
          <c:order val="4"/>
          <c:tx>
            <c:strRef>
              <c:f>Sheet2!$W$30</c:f>
              <c:strCache>
                <c:ptCount val="1"/>
                <c:pt idx="0">
                  <c:v>Timesteps 256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Sheet2!$S$31:$S$37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Sheet2!$W$31:$W$37</c:f>
              <c:numCache>
                <c:formatCode>General</c:formatCode>
                <c:ptCount val="7"/>
                <c:pt idx="0">
                  <c:v>0.69975418099999998</c:v>
                </c:pt>
                <c:pt idx="1">
                  <c:v>0.16317510199999999</c:v>
                </c:pt>
                <c:pt idx="2">
                  <c:v>0.18815117100000001</c:v>
                </c:pt>
                <c:pt idx="3">
                  <c:v>0.221330057</c:v>
                </c:pt>
                <c:pt idx="4">
                  <c:v>0.25685499699999997</c:v>
                </c:pt>
                <c:pt idx="5">
                  <c:v>2.0108020000000001E-2</c:v>
                </c:pt>
                <c:pt idx="6">
                  <c:v>2.5248060999999999E-2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50-42AC-9746-7D6276F75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623936"/>
        <c:axId val="4936248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Sheet2!$S$30</c15:sqref>
                        </c15:formulaRef>
                      </c:ext>
                    </c:extLst>
                    <c:strCache>
                      <c:ptCount val="1"/>
                      <c:pt idx="0">
                        <c:v>Threads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Sheet2!$S$31:$S$37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Sheet2!$S$31:$S$37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450-42AC-9746-7D6276F75C0C}"/>
                  </c:ext>
                </c:extLst>
              </c15:ser>
            </c15:filteredLineSeries>
          </c:ext>
        </c:extLst>
      </c:lineChart>
      <c:catAx>
        <c:axId val="493623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624896"/>
        <c:crosses val="autoZero"/>
        <c:auto val="1"/>
        <c:lblAlgn val="ctr"/>
        <c:lblOffset val="100"/>
        <c:noMultiLvlLbl val="0"/>
      </c:catAx>
      <c:valAx>
        <c:axId val="49362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Speed</a:t>
                </a:r>
                <a:r>
                  <a:rPr lang="en-MY" baseline="0"/>
                  <a:t> Up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62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Speed Up vs Number of Threads (Dimension = 258)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Sheet2!$T$58</c:f>
              <c:strCache>
                <c:ptCount val="1"/>
                <c:pt idx="0">
                  <c:v>Timesteps 4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Sheet2!$S$59:$S$65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Sheet2!$T$59:$T$65</c:f>
              <c:numCache>
                <c:formatCode>General</c:formatCode>
                <c:ptCount val="7"/>
                <c:pt idx="0">
                  <c:v>0.90312144299999997</c:v>
                </c:pt>
                <c:pt idx="1">
                  <c:v>0.33869885100000002</c:v>
                </c:pt>
                <c:pt idx="2">
                  <c:v>0.388523968</c:v>
                </c:pt>
                <c:pt idx="3">
                  <c:v>0.50670836600000002</c:v>
                </c:pt>
                <c:pt idx="4">
                  <c:v>0.56269967099999996</c:v>
                </c:pt>
                <c:pt idx="5">
                  <c:v>2.5293613999999999E-2</c:v>
                </c:pt>
                <c:pt idx="6">
                  <c:v>0.18442112599999999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F4-48C0-85D7-3006D84B7BE3}"/>
            </c:ext>
          </c:extLst>
        </c:ser>
        <c:ser>
          <c:idx val="2"/>
          <c:order val="2"/>
          <c:tx>
            <c:strRef>
              <c:f>Sheet2!$U$58</c:f>
              <c:strCache>
                <c:ptCount val="1"/>
                <c:pt idx="0">
                  <c:v>Timesteps 16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Sheet2!$S$59:$S$65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Sheet2!$U$59:$U$65</c:f>
              <c:numCache>
                <c:formatCode>General</c:formatCode>
                <c:ptCount val="7"/>
                <c:pt idx="0">
                  <c:v>0.91502329100000002</c:v>
                </c:pt>
                <c:pt idx="1">
                  <c:v>0.33479215000000001</c:v>
                </c:pt>
                <c:pt idx="2">
                  <c:v>0.40772888699999998</c:v>
                </c:pt>
                <c:pt idx="3">
                  <c:v>0.566645815</c:v>
                </c:pt>
                <c:pt idx="4">
                  <c:v>0.769500501</c:v>
                </c:pt>
                <c:pt idx="5">
                  <c:v>5.3989500000000003E-2</c:v>
                </c:pt>
                <c:pt idx="6">
                  <c:v>0.29466840599999999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F4-48C0-85D7-3006D84B7BE3}"/>
            </c:ext>
          </c:extLst>
        </c:ser>
        <c:ser>
          <c:idx val="3"/>
          <c:order val="3"/>
          <c:tx>
            <c:strRef>
              <c:f>Sheet2!$V$58</c:f>
              <c:strCache>
                <c:ptCount val="1"/>
                <c:pt idx="0">
                  <c:v>Timesteps 64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Sheet2!$S$59:$S$65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Sheet2!$V$59:$V$65</c:f>
              <c:numCache>
                <c:formatCode>General</c:formatCode>
                <c:ptCount val="7"/>
                <c:pt idx="0">
                  <c:v>0.922125207</c:v>
                </c:pt>
                <c:pt idx="1">
                  <c:v>0.33150903199999998</c:v>
                </c:pt>
                <c:pt idx="2">
                  <c:v>0.41052091400000001</c:v>
                </c:pt>
                <c:pt idx="3">
                  <c:v>0.58818417099999998</c:v>
                </c:pt>
                <c:pt idx="4">
                  <c:v>0.83327896000000001</c:v>
                </c:pt>
                <c:pt idx="5">
                  <c:v>0.17214695099999999</c:v>
                </c:pt>
                <c:pt idx="6">
                  <c:v>0.34927155999999998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F4-48C0-85D7-3006D84B7BE3}"/>
            </c:ext>
          </c:extLst>
        </c:ser>
        <c:ser>
          <c:idx val="4"/>
          <c:order val="4"/>
          <c:tx>
            <c:strRef>
              <c:f>Sheet2!$W$58</c:f>
              <c:strCache>
                <c:ptCount val="1"/>
                <c:pt idx="0">
                  <c:v>Timesteps 256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Sheet2!$S$59:$S$65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Sheet2!$W$59:$W$65</c:f>
              <c:numCache>
                <c:formatCode>General</c:formatCode>
                <c:ptCount val="7"/>
                <c:pt idx="0">
                  <c:v>0.92349354699999997</c:v>
                </c:pt>
                <c:pt idx="1">
                  <c:v>0.33410055799999999</c:v>
                </c:pt>
                <c:pt idx="2">
                  <c:v>0.40953963599999998</c:v>
                </c:pt>
                <c:pt idx="3">
                  <c:v>0.59029024299999999</c:v>
                </c:pt>
                <c:pt idx="4">
                  <c:v>0.85388257400000001</c:v>
                </c:pt>
                <c:pt idx="5">
                  <c:v>0.73077851800000004</c:v>
                </c:pt>
                <c:pt idx="6">
                  <c:v>0.37241478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F4-48C0-85D7-3006D84B7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622016"/>
        <c:axId val="4936229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Sheet2!$S$58</c15:sqref>
                        </c15:formulaRef>
                      </c:ext>
                    </c:extLst>
                    <c:strCache>
                      <c:ptCount val="1"/>
                      <c:pt idx="0">
                        <c:v>Threads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Sheet2!$S$59:$S$65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Sheet2!$S$59:$S$65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EF4-48C0-85D7-3006D84B7BE3}"/>
                  </c:ext>
                </c:extLst>
              </c15:ser>
            </c15:filteredLineSeries>
          </c:ext>
        </c:extLst>
      </c:lineChart>
      <c:catAx>
        <c:axId val="493622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622976"/>
        <c:crosses val="autoZero"/>
        <c:auto val="1"/>
        <c:lblAlgn val="ctr"/>
        <c:lblOffset val="100"/>
        <c:noMultiLvlLbl val="0"/>
      </c:catAx>
      <c:valAx>
        <c:axId val="49362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Speed 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62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Speed Up vs Number of Threads (Dimension = 1026)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Sheet2!$T$86</c:f>
              <c:strCache>
                <c:ptCount val="1"/>
                <c:pt idx="0">
                  <c:v>Timesteps 4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Sheet2!$S$87:$S$93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Sheet2!$T$87:$T$93</c:f>
              <c:numCache>
                <c:formatCode>General</c:formatCode>
                <c:ptCount val="7"/>
                <c:pt idx="0">
                  <c:v>0.98107039100000004</c:v>
                </c:pt>
                <c:pt idx="1">
                  <c:v>1.144561857</c:v>
                </c:pt>
                <c:pt idx="2">
                  <c:v>1.269495891</c:v>
                </c:pt>
                <c:pt idx="3">
                  <c:v>1.889923931</c:v>
                </c:pt>
                <c:pt idx="4">
                  <c:v>2.9169037009999998</c:v>
                </c:pt>
                <c:pt idx="5">
                  <c:v>0.26423966999999998</c:v>
                </c:pt>
                <c:pt idx="6">
                  <c:v>2.2805625740000002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FD-4C2C-AF2C-93C0B20BB2E9}"/>
            </c:ext>
          </c:extLst>
        </c:ser>
        <c:ser>
          <c:idx val="2"/>
          <c:order val="2"/>
          <c:tx>
            <c:strRef>
              <c:f>Sheet2!$U$86</c:f>
              <c:strCache>
                <c:ptCount val="1"/>
                <c:pt idx="0">
                  <c:v>Timesteps 16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Sheet2!$S$87:$S$93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Sheet2!$U$87:$U$93</c:f>
              <c:numCache>
                <c:formatCode>General</c:formatCode>
                <c:ptCount val="7"/>
                <c:pt idx="0">
                  <c:v>0.97202891999999996</c:v>
                </c:pt>
                <c:pt idx="1">
                  <c:v>1.1254057150000001</c:v>
                </c:pt>
                <c:pt idx="2">
                  <c:v>1.246329212</c:v>
                </c:pt>
                <c:pt idx="3">
                  <c:v>1.915885947</c:v>
                </c:pt>
                <c:pt idx="4">
                  <c:v>3.1728619419999999</c:v>
                </c:pt>
                <c:pt idx="5">
                  <c:v>0.51416389500000004</c:v>
                </c:pt>
                <c:pt idx="6">
                  <c:v>2.980130623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FD-4C2C-AF2C-93C0B20BB2E9}"/>
            </c:ext>
          </c:extLst>
        </c:ser>
        <c:ser>
          <c:idx val="3"/>
          <c:order val="3"/>
          <c:tx>
            <c:strRef>
              <c:f>Sheet2!$V$86</c:f>
              <c:strCache>
                <c:ptCount val="1"/>
                <c:pt idx="0">
                  <c:v>Timesteps 64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Sheet2!$S$87:$S$93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Sheet2!$V$87:$V$93</c:f>
              <c:numCache>
                <c:formatCode>General</c:formatCode>
                <c:ptCount val="7"/>
                <c:pt idx="0">
                  <c:v>0.97371443000000002</c:v>
                </c:pt>
                <c:pt idx="1">
                  <c:v>1.0929295640000001</c:v>
                </c:pt>
                <c:pt idx="2">
                  <c:v>1.2464593639999999</c:v>
                </c:pt>
                <c:pt idx="3">
                  <c:v>1.923374175</c:v>
                </c:pt>
                <c:pt idx="4">
                  <c:v>3.2657555579999999</c:v>
                </c:pt>
                <c:pt idx="5">
                  <c:v>2.1092819920000001</c:v>
                </c:pt>
                <c:pt idx="6">
                  <c:v>3.2494012780000001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FD-4C2C-AF2C-93C0B20BB2E9}"/>
            </c:ext>
          </c:extLst>
        </c:ser>
        <c:ser>
          <c:idx val="4"/>
          <c:order val="4"/>
          <c:tx>
            <c:strRef>
              <c:f>Sheet2!$W$86</c:f>
              <c:strCache>
                <c:ptCount val="1"/>
                <c:pt idx="0">
                  <c:v>Timesteps 256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Sheet2!$S$87:$S$93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Sheet2!$W$87:$W$93</c:f>
              <c:numCache>
                <c:formatCode>General</c:formatCode>
                <c:ptCount val="7"/>
                <c:pt idx="0">
                  <c:v>0.98811304099999997</c:v>
                </c:pt>
                <c:pt idx="1">
                  <c:v>1.081239595</c:v>
                </c:pt>
                <c:pt idx="2">
                  <c:v>1.1452392709999999</c:v>
                </c:pt>
                <c:pt idx="3">
                  <c:v>1.951136757</c:v>
                </c:pt>
                <c:pt idx="4">
                  <c:v>3.3213586400000001</c:v>
                </c:pt>
                <c:pt idx="5">
                  <c:v>3.8940762260000001</c:v>
                </c:pt>
                <c:pt idx="6">
                  <c:v>3.3560760329999999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FD-4C2C-AF2C-93C0B20BB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553856"/>
        <c:axId val="4935437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Sheet2!$S$86</c15:sqref>
                        </c15:formulaRef>
                      </c:ext>
                    </c:extLst>
                    <c:strCache>
                      <c:ptCount val="1"/>
                      <c:pt idx="0">
                        <c:v>Threads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Sheet2!$S$87:$S$93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Sheet2!$S$87:$S$93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AFD-4C2C-AF2C-93C0B20BB2E9}"/>
                  </c:ext>
                </c:extLst>
              </c15:ser>
            </c15:filteredLineSeries>
          </c:ext>
        </c:extLst>
      </c:lineChart>
      <c:catAx>
        <c:axId val="493553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543776"/>
        <c:crosses val="autoZero"/>
        <c:auto val="1"/>
        <c:lblAlgn val="ctr"/>
        <c:lblOffset val="100"/>
        <c:noMultiLvlLbl val="0"/>
      </c:catAx>
      <c:valAx>
        <c:axId val="49354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Speed</a:t>
                </a:r>
                <a:r>
                  <a:rPr lang="en-MY" baseline="0"/>
                  <a:t> Up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553856"/>
        <c:crosses val="autoZero"/>
        <c:crossBetween val="between"/>
      </c:valAx>
      <c:spPr>
        <a:noFill/>
        <a:ln>
          <a:solidFill>
            <a:schemeClr val="bg1">
              <a:alpha val="77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Speed Up vs Number of Threads (Dimension = 4098)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Sheet2!$T$114</c:f>
              <c:strCache>
                <c:ptCount val="1"/>
                <c:pt idx="0">
                  <c:v>Timesteps 4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Sheet2!$S$115:$S$121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Sheet2!$T$115:$T$121</c:f>
              <c:numCache>
                <c:formatCode>General</c:formatCode>
                <c:ptCount val="7"/>
                <c:pt idx="0">
                  <c:v>0.99564831600000003</c:v>
                </c:pt>
                <c:pt idx="1">
                  <c:v>1.383549956</c:v>
                </c:pt>
                <c:pt idx="2">
                  <c:v>2.1095752249999999</c:v>
                </c:pt>
                <c:pt idx="3">
                  <c:v>3.495640861</c:v>
                </c:pt>
                <c:pt idx="4">
                  <c:v>4.9601927549999996</c:v>
                </c:pt>
                <c:pt idx="5">
                  <c:v>5.7764385000000003</c:v>
                </c:pt>
                <c:pt idx="6">
                  <c:v>7.2469894640000003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8F-4362-BDCE-C3BA96CFB537}"/>
            </c:ext>
          </c:extLst>
        </c:ser>
        <c:ser>
          <c:idx val="2"/>
          <c:order val="2"/>
          <c:tx>
            <c:strRef>
              <c:f>Sheet2!$U$114</c:f>
              <c:strCache>
                <c:ptCount val="1"/>
                <c:pt idx="0">
                  <c:v>Timesteps 16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Sheet2!$S$115:$S$121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Sheet2!$U$115:$U$121</c:f>
              <c:numCache>
                <c:formatCode>General</c:formatCode>
                <c:ptCount val="7"/>
                <c:pt idx="0">
                  <c:v>0.98796496300000003</c:v>
                </c:pt>
                <c:pt idx="1">
                  <c:v>1.0797501650000001</c:v>
                </c:pt>
                <c:pt idx="2">
                  <c:v>2.0892165899999999</c:v>
                </c:pt>
                <c:pt idx="3">
                  <c:v>3.4798022980000001</c:v>
                </c:pt>
                <c:pt idx="4">
                  <c:v>6.0440103189999999</c:v>
                </c:pt>
                <c:pt idx="5">
                  <c:v>7.1026749389999999</c:v>
                </c:pt>
                <c:pt idx="6">
                  <c:v>7.7020332009999999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8F-4362-BDCE-C3BA96CFB537}"/>
            </c:ext>
          </c:extLst>
        </c:ser>
        <c:ser>
          <c:idx val="3"/>
          <c:order val="3"/>
          <c:tx>
            <c:strRef>
              <c:f>Sheet2!$V$114</c:f>
              <c:strCache>
                <c:ptCount val="1"/>
                <c:pt idx="0">
                  <c:v>Timesteps 64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Sheet2!$S$115:$S$121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Sheet2!$V$115:$V$121</c:f>
              <c:numCache>
                <c:formatCode>General</c:formatCode>
                <c:ptCount val="7"/>
                <c:pt idx="0">
                  <c:v>0.99500433499999996</c:v>
                </c:pt>
                <c:pt idx="1">
                  <c:v>0.75474128200000001</c:v>
                </c:pt>
                <c:pt idx="2">
                  <c:v>1.234618913</c:v>
                </c:pt>
                <c:pt idx="3">
                  <c:v>3.017196378</c:v>
                </c:pt>
                <c:pt idx="4">
                  <c:v>5.9527090549999997</c:v>
                </c:pt>
                <c:pt idx="5">
                  <c:v>7.282413697</c:v>
                </c:pt>
                <c:pt idx="6">
                  <c:v>6.1813524810000002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8F-4362-BDCE-C3BA96CFB537}"/>
            </c:ext>
          </c:extLst>
        </c:ser>
        <c:ser>
          <c:idx val="4"/>
          <c:order val="4"/>
          <c:tx>
            <c:strRef>
              <c:f>Sheet2!$W$114</c:f>
              <c:strCache>
                <c:ptCount val="1"/>
                <c:pt idx="0">
                  <c:v>Timesteps 256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Sheet2!$S$115:$S$121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Sheet2!$W$115:$W$121</c:f>
              <c:numCache>
                <c:formatCode>General</c:formatCode>
                <c:ptCount val="7"/>
                <c:pt idx="0">
                  <c:v>0.98645907099999997</c:v>
                </c:pt>
                <c:pt idx="1">
                  <c:v>0.53046518499999995</c:v>
                </c:pt>
                <c:pt idx="2">
                  <c:v>1.046161049</c:v>
                </c:pt>
                <c:pt idx="3">
                  <c:v>2.0565273930000001</c:v>
                </c:pt>
                <c:pt idx="4">
                  <c:v>4.9904893670000003</c:v>
                </c:pt>
                <c:pt idx="5">
                  <c:v>8.2610580819999999</c:v>
                </c:pt>
                <c:pt idx="6">
                  <c:v>6.0779113919999999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8F-4362-BDCE-C3BA96CFB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550976"/>
        <c:axId val="49355625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Sheet2!$S$114</c15:sqref>
                        </c15:formulaRef>
                      </c:ext>
                    </c:extLst>
                    <c:strCache>
                      <c:ptCount val="1"/>
                      <c:pt idx="0">
                        <c:v>Threads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Sheet2!$S$115:$S$121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Sheet2!$S$115:$S$121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48F-4362-BDCE-C3BA96CFB537}"/>
                  </c:ext>
                </c:extLst>
              </c15:ser>
            </c15:filteredLineSeries>
          </c:ext>
        </c:extLst>
      </c:lineChart>
      <c:catAx>
        <c:axId val="49355097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556256"/>
        <c:crosses val="autoZero"/>
        <c:auto val="1"/>
        <c:lblAlgn val="ctr"/>
        <c:lblOffset val="100"/>
        <c:noMultiLvlLbl val="0"/>
      </c:catAx>
      <c:valAx>
        <c:axId val="49355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55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108403</xdr:colOff>
      <xdr:row>0</xdr:row>
      <xdr:rowOff>105256</xdr:rowOff>
    </xdr:from>
    <xdr:to>
      <xdr:col>36</xdr:col>
      <xdr:colOff>58316</xdr:colOff>
      <xdr:row>13</xdr:row>
      <xdr:rowOff>77755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29DE69-3EB7-BCAC-EB03-2FCA0399F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0</xdr:colOff>
      <xdr:row>16</xdr:row>
      <xdr:rowOff>0</xdr:rowOff>
    </xdr:from>
    <xdr:to>
      <xdr:col>35</xdr:col>
      <xdr:colOff>556480</xdr:colOff>
      <xdr:row>30</xdr:row>
      <xdr:rowOff>171529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18AB0A-B9B0-4F46-BFF6-C7FFBBDA0E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0</xdr:colOff>
      <xdr:row>33</xdr:row>
      <xdr:rowOff>0</xdr:rowOff>
    </xdr:from>
    <xdr:to>
      <xdr:col>35</xdr:col>
      <xdr:colOff>562762</xdr:colOff>
      <xdr:row>47</xdr:row>
      <xdr:rowOff>157092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DB4299-C049-48A1-B3CF-E973546A6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397868</xdr:colOff>
      <xdr:row>0</xdr:row>
      <xdr:rowOff>76994</xdr:rowOff>
    </xdr:from>
    <xdr:to>
      <xdr:col>31</xdr:col>
      <xdr:colOff>127993</xdr:colOff>
      <xdr:row>13</xdr:row>
      <xdr:rowOff>42069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CF83DA-2EDA-2FE0-2CC4-F6154E3CB9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3342</xdr:colOff>
      <xdr:row>26</xdr:row>
      <xdr:rowOff>48795</xdr:rowOff>
    </xdr:from>
    <xdr:to>
      <xdr:col>31</xdr:col>
      <xdr:colOff>317500</xdr:colOff>
      <xdr:row>39</xdr:row>
      <xdr:rowOff>185153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A67066-0224-23A6-4FF1-A0A732BED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16710</xdr:colOff>
      <xdr:row>57</xdr:row>
      <xdr:rowOff>2006</xdr:rowOff>
    </xdr:from>
    <xdr:to>
      <xdr:col>32</xdr:col>
      <xdr:colOff>9620</xdr:colOff>
      <xdr:row>71</xdr:row>
      <xdr:rowOff>144318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3AA863-F4FA-9F8A-BB95-748B80457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239117</xdr:colOff>
      <xdr:row>83</xdr:row>
      <xdr:rowOff>176213</xdr:rowOff>
    </xdr:from>
    <xdr:to>
      <xdr:col>33</xdr:col>
      <xdr:colOff>163560</xdr:colOff>
      <xdr:row>99</xdr:row>
      <xdr:rowOff>86591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9099D6-C8F2-AC5B-FE98-88327A9AA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543891</xdr:colOff>
      <xdr:row>111</xdr:row>
      <xdr:rowOff>133074</xdr:rowOff>
    </xdr:from>
    <xdr:to>
      <xdr:col>32</xdr:col>
      <xdr:colOff>182803</xdr:colOff>
      <xdr:row>127</xdr:row>
      <xdr:rowOff>105833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577E9A6-408D-8550-FE58-AF1F26B367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839FC-BDB1-4441-8362-FFFD492CF162}">
  <dimension ref="A1:Z106"/>
  <sheetViews>
    <sheetView topLeftCell="R26" zoomScale="65" zoomScaleNormal="66" workbookViewId="0">
      <selection activeCell="AA11" sqref="AA11"/>
    </sheetView>
  </sheetViews>
  <sheetFormatPr defaultRowHeight="14.5" x14ac:dyDescent="0.35"/>
  <cols>
    <col min="1" max="1" width="28.6328125" customWidth="1"/>
    <col min="2" max="2" width="25.6328125" customWidth="1"/>
    <col min="3" max="3" width="26.36328125" customWidth="1"/>
    <col min="5" max="5" width="13.36328125" customWidth="1"/>
    <col min="6" max="6" width="10.08984375" customWidth="1"/>
    <col min="7" max="7" width="16.1796875" customWidth="1"/>
    <col min="8" max="8" width="24.36328125" customWidth="1"/>
    <col min="9" max="9" width="17.6328125" customWidth="1"/>
    <col min="13" max="13" width="12.453125" customWidth="1"/>
    <col min="15" max="15" width="10.26953125" customWidth="1"/>
    <col min="16" max="16" width="23.453125" customWidth="1"/>
    <col min="21" max="21" width="8.81640625" bestFit="1" customWidth="1"/>
    <col min="22" max="26" width="12.26953125" bestFit="1" customWidth="1"/>
  </cols>
  <sheetData>
    <row r="1" spans="1:26" ht="47" customHeight="1" thickBot="1" x14ac:dyDescent="0.4">
      <c r="A1" s="1" t="s">
        <v>0</v>
      </c>
      <c r="B1" s="2" t="s">
        <v>1</v>
      </c>
      <c r="C1" s="2" t="s">
        <v>2</v>
      </c>
      <c r="E1" s="1" t="s">
        <v>0</v>
      </c>
      <c r="F1" s="6" t="s">
        <v>1</v>
      </c>
      <c r="G1" s="2" t="s">
        <v>6</v>
      </c>
      <c r="H1" s="2" t="s">
        <v>2</v>
      </c>
      <c r="I1" s="2" t="s">
        <v>7</v>
      </c>
      <c r="M1" s="1" t="s">
        <v>0</v>
      </c>
      <c r="N1" s="6" t="s">
        <v>1</v>
      </c>
      <c r="O1" s="2" t="s">
        <v>6</v>
      </c>
      <c r="P1" s="2" t="s">
        <v>7</v>
      </c>
      <c r="U1" s="58" t="s">
        <v>6</v>
      </c>
      <c r="V1" s="58" t="s">
        <v>11</v>
      </c>
      <c r="W1" s="58" t="s">
        <v>12</v>
      </c>
      <c r="X1" s="58" t="s">
        <v>13</v>
      </c>
      <c r="Y1" s="58" t="s">
        <v>14</v>
      </c>
      <c r="Z1" s="58" t="s">
        <v>15</v>
      </c>
    </row>
    <row r="2" spans="1:26" ht="16" thickBot="1" x14ac:dyDescent="0.4">
      <c r="A2" s="31" t="s">
        <v>3</v>
      </c>
      <c r="B2" s="3">
        <v>2</v>
      </c>
      <c r="C2" s="3">
        <v>1.6076E-2</v>
      </c>
      <c r="E2" s="31" t="s">
        <v>3</v>
      </c>
      <c r="F2" s="31">
        <v>2</v>
      </c>
      <c r="G2" s="3">
        <v>1</v>
      </c>
      <c r="H2" s="3">
        <v>1.6524E-2</v>
      </c>
      <c r="I2" s="3">
        <f>$C$2 / H2</f>
        <v>0.97288792060033891</v>
      </c>
      <c r="M2" s="31" t="s">
        <v>3</v>
      </c>
      <c r="N2" s="31">
        <v>2</v>
      </c>
      <c r="O2" s="3">
        <v>1</v>
      </c>
      <c r="P2" s="57">
        <v>0.97288792099999999</v>
      </c>
      <c r="U2" s="59">
        <v>1</v>
      </c>
      <c r="V2" s="59">
        <v>0.97288792099999999</v>
      </c>
      <c r="W2" s="59">
        <v>0.97595757800000005</v>
      </c>
      <c r="X2" s="59">
        <v>0.99809230699999996</v>
      </c>
      <c r="Y2" s="59">
        <v>0.99511492700000004</v>
      </c>
      <c r="Z2" s="59">
        <v>1.0024776120000001</v>
      </c>
    </row>
    <row r="3" spans="1:26" ht="16" thickBot="1" x14ac:dyDescent="0.4">
      <c r="A3" s="32"/>
      <c r="B3" s="3">
        <v>4</v>
      </c>
      <c r="C3" s="3">
        <v>8.4109000000000003E-2</v>
      </c>
      <c r="E3" s="32"/>
      <c r="F3" s="32"/>
      <c r="G3" s="3">
        <v>2</v>
      </c>
      <c r="H3" s="3">
        <v>1.1490999999999999E-2</v>
      </c>
      <c r="I3" s="3">
        <f t="shared" ref="I3:I8" si="0">$C$2 / H3</f>
        <v>1.3990079192411453</v>
      </c>
      <c r="M3" s="32"/>
      <c r="N3" s="32"/>
      <c r="O3" s="3">
        <v>2</v>
      </c>
      <c r="P3" s="8">
        <v>1.399007919</v>
      </c>
      <c r="U3" s="59">
        <v>2</v>
      </c>
      <c r="V3" s="59">
        <v>1.399007919</v>
      </c>
      <c r="W3" s="59">
        <v>1.6051335879999999</v>
      </c>
      <c r="X3" s="59">
        <v>1.568551751</v>
      </c>
      <c r="Y3" s="59">
        <v>1.9761098939999999</v>
      </c>
      <c r="Z3" s="59">
        <v>1.995092914</v>
      </c>
    </row>
    <row r="4" spans="1:26" ht="16" thickBot="1" x14ac:dyDescent="0.4">
      <c r="A4" s="32"/>
      <c r="B4" s="3">
        <v>6</v>
      </c>
      <c r="C4" s="3">
        <v>0.110917</v>
      </c>
      <c r="E4" s="32"/>
      <c r="F4" s="32"/>
      <c r="G4" s="3">
        <v>4</v>
      </c>
      <c r="H4" s="3">
        <v>6.9369999999999996E-3</v>
      </c>
      <c r="I4" s="3">
        <f t="shared" si="0"/>
        <v>2.3174282831195043</v>
      </c>
      <c r="M4" s="32"/>
      <c r="N4" s="32"/>
      <c r="O4" s="3">
        <v>4</v>
      </c>
      <c r="P4" s="8">
        <v>2.3174282829999999</v>
      </c>
      <c r="U4" s="59">
        <v>4</v>
      </c>
      <c r="V4" s="59">
        <v>2.3174282829999999</v>
      </c>
      <c r="W4" s="59">
        <v>2.475614422</v>
      </c>
      <c r="X4" s="59">
        <v>2.9352439929999998</v>
      </c>
      <c r="Y4" s="59">
        <v>3.049717893</v>
      </c>
      <c r="Z4" s="59">
        <v>3.7284616750000001</v>
      </c>
    </row>
    <row r="5" spans="1:26" ht="16" thickBot="1" x14ac:dyDescent="0.4">
      <c r="A5" s="32"/>
      <c r="B5" s="3">
        <v>8</v>
      </c>
      <c r="C5" s="3">
        <v>0.10918600000000001</v>
      </c>
      <c r="E5" s="32"/>
      <c r="F5" s="32"/>
      <c r="G5" s="3">
        <v>8</v>
      </c>
      <c r="H5" s="3">
        <v>4.7190000000000001E-3</v>
      </c>
      <c r="I5" s="3">
        <f t="shared" si="0"/>
        <v>3.4066539521084973</v>
      </c>
      <c r="M5" s="32"/>
      <c r="N5" s="32"/>
      <c r="O5" s="3">
        <v>8</v>
      </c>
      <c r="P5" s="8">
        <v>3.4066539520000001</v>
      </c>
      <c r="U5" s="59">
        <v>8</v>
      </c>
      <c r="V5" s="59">
        <v>3.4066539520000001</v>
      </c>
      <c r="W5" s="59">
        <v>4.5951158220000003</v>
      </c>
      <c r="X5" s="59">
        <v>4.8791184620000001</v>
      </c>
      <c r="Y5" s="59">
        <v>6.028711833</v>
      </c>
      <c r="Z5" s="59">
        <v>7.0874134729999998</v>
      </c>
    </row>
    <row r="6" spans="1:26" ht="16" thickBot="1" x14ac:dyDescent="0.4">
      <c r="A6" s="52"/>
      <c r="B6" s="3">
        <v>16</v>
      </c>
      <c r="C6" s="3">
        <v>0.16791500000000001</v>
      </c>
      <c r="E6" s="32"/>
      <c r="F6" s="32"/>
      <c r="G6" s="3">
        <v>16</v>
      </c>
      <c r="H6" s="3">
        <v>2.6380000000000002E-3</v>
      </c>
      <c r="I6" s="3">
        <f t="shared" si="0"/>
        <v>6.0940106141015917</v>
      </c>
      <c r="M6" s="32"/>
      <c r="N6" s="32"/>
      <c r="O6" s="3">
        <v>16</v>
      </c>
      <c r="P6" s="8">
        <v>6.0940106140000001</v>
      </c>
      <c r="U6" s="59">
        <v>16</v>
      </c>
      <c r="V6" s="59">
        <v>6.0940106140000001</v>
      </c>
      <c r="W6" s="59">
        <v>8.744957372</v>
      </c>
      <c r="X6" s="59">
        <v>9.0722231309999994</v>
      </c>
      <c r="Y6" s="59">
        <v>10.78486764</v>
      </c>
      <c r="Z6" s="59">
        <v>12.907602430000001</v>
      </c>
    </row>
    <row r="7" spans="1:26" ht="16" thickBot="1" x14ac:dyDescent="0.4">
      <c r="A7" s="53" t="s">
        <v>4</v>
      </c>
      <c r="B7" s="4">
        <v>2</v>
      </c>
      <c r="C7" s="4">
        <v>0.16744200000000001</v>
      </c>
      <c r="E7" s="32"/>
      <c r="F7" s="32"/>
      <c r="G7" s="3">
        <v>32</v>
      </c>
      <c r="H7" s="3">
        <v>1.4536E-2</v>
      </c>
      <c r="I7" s="3">
        <f t="shared" si="0"/>
        <v>1.1059438635112824</v>
      </c>
      <c r="M7" s="32"/>
      <c r="N7" s="32"/>
      <c r="O7" s="3">
        <v>32</v>
      </c>
      <c r="P7" s="8">
        <v>1.1059438640000001</v>
      </c>
      <c r="U7" s="59">
        <v>32</v>
      </c>
      <c r="V7" s="59">
        <v>1.1059438640000001</v>
      </c>
      <c r="W7" s="59">
        <v>0.83400926099999995</v>
      </c>
      <c r="X7" s="59">
        <v>4.4903850050000003</v>
      </c>
      <c r="Y7" s="59">
        <v>9.7766833809999998</v>
      </c>
      <c r="Z7" s="59">
        <v>7.6196850749999996</v>
      </c>
    </row>
    <row r="8" spans="1:26" ht="16" thickBot="1" x14ac:dyDescent="0.4">
      <c r="A8" s="23"/>
      <c r="B8" s="4">
        <v>4</v>
      </c>
      <c r="C8" s="4">
        <v>0.88181200000000004</v>
      </c>
      <c r="E8" s="32"/>
      <c r="F8" s="33"/>
      <c r="G8" s="3">
        <v>64</v>
      </c>
      <c r="H8" s="3">
        <v>1.005E-2</v>
      </c>
      <c r="I8" s="3">
        <f t="shared" si="0"/>
        <v>1.5996019900497513</v>
      </c>
      <c r="M8" s="32"/>
      <c r="N8" s="33"/>
      <c r="O8" s="3">
        <v>64</v>
      </c>
      <c r="P8" s="8">
        <v>1.59960199</v>
      </c>
      <c r="U8" s="59">
        <v>64</v>
      </c>
      <c r="V8" s="59">
        <v>1.59960199</v>
      </c>
      <c r="W8" s="59">
        <v>2.89591654</v>
      </c>
      <c r="X8" s="59">
        <v>3.9120022570000001</v>
      </c>
      <c r="Y8" s="59">
        <v>4.6489823719999999</v>
      </c>
      <c r="Z8" s="59">
        <v>6.9214756800000004</v>
      </c>
    </row>
    <row r="9" spans="1:26" ht="16" thickBot="1" x14ac:dyDescent="0.4">
      <c r="A9" s="23"/>
      <c r="B9" s="4">
        <v>6</v>
      </c>
      <c r="C9" s="4">
        <v>0.91653099999999998</v>
      </c>
      <c r="E9" s="32"/>
      <c r="F9" s="31">
        <v>4</v>
      </c>
      <c r="G9" s="3">
        <v>1</v>
      </c>
      <c r="H9" s="3">
        <v>8.6180999999999994E-2</v>
      </c>
      <c r="I9" s="3">
        <f>$C$3 / H9</f>
        <v>0.97595757765632807</v>
      </c>
      <c r="M9" s="32"/>
      <c r="N9" s="31">
        <v>4</v>
      </c>
      <c r="O9" s="3">
        <v>1</v>
      </c>
      <c r="P9" s="8">
        <v>0.97595757800000005</v>
      </c>
    </row>
    <row r="10" spans="1:26" ht="16" thickBot="1" x14ac:dyDescent="0.4">
      <c r="A10" s="23"/>
      <c r="B10" s="4">
        <v>8</v>
      </c>
      <c r="C10" s="4">
        <v>4.1888769999999997</v>
      </c>
      <c r="E10" s="32"/>
      <c r="F10" s="32"/>
      <c r="G10" s="3">
        <v>2</v>
      </c>
      <c r="H10" s="3">
        <v>5.2400000000000002E-2</v>
      </c>
      <c r="I10" s="3">
        <f t="shared" ref="I10:I15" si="1">$C$3 / H10</f>
        <v>1.6051335877862596</v>
      </c>
      <c r="M10" s="32"/>
      <c r="N10" s="32"/>
      <c r="O10" s="3">
        <v>2</v>
      </c>
      <c r="P10" s="8">
        <v>1.6051335879999999</v>
      </c>
    </row>
    <row r="11" spans="1:26" ht="16" thickBot="1" x14ac:dyDescent="0.4">
      <c r="A11" s="54"/>
      <c r="B11" s="4">
        <v>16</v>
      </c>
      <c r="C11" s="4">
        <v>6.7744039999999996</v>
      </c>
      <c r="E11" s="32"/>
      <c r="F11" s="32"/>
      <c r="G11" s="3">
        <v>4</v>
      </c>
      <c r="H11" s="3">
        <v>3.3974999999999998E-2</v>
      </c>
      <c r="I11" s="3">
        <f t="shared" si="1"/>
        <v>2.4756144223693894</v>
      </c>
      <c r="M11" s="32"/>
      <c r="N11" s="32"/>
      <c r="O11" s="3">
        <v>4</v>
      </c>
      <c r="P11" s="8">
        <v>2.475614422</v>
      </c>
      <c r="U11" s="58" t="s">
        <v>6</v>
      </c>
      <c r="V11" s="58" t="s">
        <v>11</v>
      </c>
      <c r="W11" s="58" t="s">
        <v>12</v>
      </c>
      <c r="X11" s="58" t="s">
        <v>13</v>
      </c>
      <c r="Y11" s="58" t="s">
        <v>14</v>
      </c>
      <c r="Z11" s="58" t="s">
        <v>15</v>
      </c>
    </row>
    <row r="12" spans="1:26" ht="16" thickBot="1" x14ac:dyDescent="0.4">
      <c r="A12" s="55" t="s">
        <v>5</v>
      </c>
      <c r="B12" s="5">
        <v>2</v>
      </c>
      <c r="C12" s="5">
        <v>1.545625</v>
      </c>
      <c r="E12" s="32"/>
      <c r="F12" s="32"/>
      <c r="G12" s="3">
        <v>8</v>
      </c>
      <c r="H12" s="3">
        <v>1.8304000000000001E-2</v>
      </c>
      <c r="I12" s="3">
        <f t="shared" si="1"/>
        <v>4.5951158216783217</v>
      </c>
      <c r="M12" s="32"/>
      <c r="N12" s="32"/>
      <c r="O12" s="3">
        <v>8</v>
      </c>
      <c r="P12" s="8">
        <v>4.5951158220000003</v>
      </c>
      <c r="U12" s="59">
        <v>1</v>
      </c>
      <c r="V12" s="9">
        <v>0.98312548399999999</v>
      </c>
      <c r="W12" s="9">
        <v>0.97823137599999999</v>
      </c>
      <c r="X12" s="9">
        <v>0.99901791100000004</v>
      </c>
      <c r="Y12" s="9">
        <v>0.99551896399999995</v>
      </c>
      <c r="Z12" s="9">
        <v>1.0045358600000001</v>
      </c>
    </row>
    <row r="13" spans="1:26" ht="16" thickBot="1" x14ac:dyDescent="0.4">
      <c r="A13" s="38"/>
      <c r="B13" s="5">
        <v>4</v>
      </c>
      <c r="C13" s="5">
        <v>6.6535000000000002</v>
      </c>
      <c r="E13" s="32"/>
      <c r="F13" s="32"/>
      <c r="G13" s="3">
        <v>16</v>
      </c>
      <c r="H13" s="3">
        <v>9.6179999999999998E-3</v>
      </c>
      <c r="I13" s="3">
        <f t="shared" si="1"/>
        <v>8.7449573715949267</v>
      </c>
      <c r="M13" s="32"/>
      <c r="N13" s="32"/>
      <c r="O13" s="3">
        <v>16</v>
      </c>
      <c r="P13" s="8">
        <v>8.744957372</v>
      </c>
      <c r="U13" s="59">
        <v>2</v>
      </c>
      <c r="V13" s="9">
        <v>1.2042115259999999</v>
      </c>
      <c r="W13" s="9">
        <v>1.3669172700000001</v>
      </c>
      <c r="X13" s="9">
        <v>1.459086466</v>
      </c>
      <c r="Y13" s="9">
        <v>1.416946214</v>
      </c>
      <c r="Z13" s="9">
        <v>1.8085352219999999</v>
      </c>
    </row>
    <row r="14" spans="1:26" ht="16" thickBot="1" x14ac:dyDescent="0.4">
      <c r="A14" s="38"/>
      <c r="B14" s="5">
        <v>6</v>
      </c>
      <c r="C14" s="5">
        <v>13.074916</v>
      </c>
      <c r="E14" s="32"/>
      <c r="F14" s="32"/>
      <c r="G14" s="3">
        <v>32</v>
      </c>
      <c r="H14" s="3">
        <v>0.10084899999999999</v>
      </c>
      <c r="I14" s="3">
        <f t="shared" si="1"/>
        <v>0.83400926137096065</v>
      </c>
      <c r="M14" s="32"/>
      <c r="N14" s="32"/>
      <c r="O14" s="3">
        <v>32</v>
      </c>
      <c r="P14" s="8">
        <v>0.83400926099999995</v>
      </c>
      <c r="U14" s="59">
        <v>4</v>
      </c>
      <c r="V14" s="9">
        <v>2.0101080429999998</v>
      </c>
      <c r="W14" s="9">
        <v>2.6021671639999999</v>
      </c>
      <c r="X14" s="9">
        <v>2.5101429350000002</v>
      </c>
      <c r="Y14" s="9">
        <v>3.1253792119999999</v>
      </c>
      <c r="Z14" s="9">
        <v>3.511041708</v>
      </c>
    </row>
    <row r="15" spans="1:26" ht="16" thickBot="1" x14ac:dyDescent="0.4">
      <c r="A15" s="56"/>
      <c r="B15" s="5">
        <v>8</v>
      </c>
      <c r="C15" s="5">
        <v>18.419622</v>
      </c>
      <c r="E15" s="32"/>
      <c r="F15" s="33"/>
      <c r="G15" s="3">
        <v>64</v>
      </c>
      <c r="H15" s="3">
        <v>2.9044E-2</v>
      </c>
      <c r="I15" s="3">
        <f t="shared" si="1"/>
        <v>2.8959165404214295</v>
      </c>
      <c r="M15" s="32"/>
      <c r="N15" s="33"/>
      <c r="O15" s="3">
        <v>64</v>
      </c>
      <c r="P15" s="8">
        <v>2.89591654</v>
      </c>
      <c r="U15" s="59">
        <v>8</v>
      </c>
      <c r="V15" s="9">
        <v>3.7948055479999998</v>
      </c>
      <c r="W15" s="9">
        <v>4.8693875520000001</v>
      </c>
      <c r="X15" s="9">
        <v>5.1680096080000002</v>
      </c>
      <c r="Y15" s="9">
        <v>5.8920426250000002</v>
      </c>
      <c r="Z15" s="9">
        <v>6.5510017390000002</v>
      </c>
    </row>
    <row r="16" spans="1:26" ht="16" thickBot="1" x14ac:dyDescent="0.4">
      <c r="B16" s="7">
        <v>16</v>
      </c>
      <c r="C16" s="11">
        <v>45.460202000000002</v>
      </c>
      <c r="E16" s="32"/>
      <c r="F16" s="31">
        <v>6</v>
      </c>
      <c r="G16" s="3">
        <v>1</v>
      </c>
      <c r="H16" s="3">
        <v>0.11112900000000001</v>
      </c>
      <c r="I16" s="3">
        <f>$C$4 / H16</f>
        <v>0.99809230713855068</v>
      </c>
      <c r="M16" s="32"/>
      <c r="N16" s="31">
        <v>6</v>
      </c>
      <c r="O16" s="3">
        <v>1</v>
      </c>
      <c r="P16" s="8">
        <v>0.99809230699999996</v>
      </c>
      <c r="U16" s="59">
        <v>16</v>
      </c>
      <c r="V16" s="9">
        <v>7.126404494</v>
      </c>
      <c r="W16" s="9">
        <v>9.4572402990000004</v>
      </c>
      <c r="X16" s="9">
        <v>10.15366805</v>
      </c>
      <c r="Y16" s="9">
        <v>11.66759605</v>
      </c>
      <c r="Z16" s="9">
        <v>13.77003742</v>
      </c>
    </row>
    <row r="17" spans="5:26" ht="16" thickBot="1" x14ac:dyDescent="0.4">
      <c r="E17" s="32"/>
      <c r="F17" s="32"/>
      <c r="G17" s="3">
        <v>2</v>
      </c>
      <c r="H17" s="3">
        <v>7.0712999999999998E-2</v>
      </c>
      <c r="I17" s="3">
        <f t="shared" ref="I17:I22" si="2">$C$4 / H17</f>
        <v>1.5685517514459859</v>
      </c>
      <c r="M17" s="32"/>
      <c r="N17" s="32"/>
      <c r="O17" s="3">
        <v>2</v>
      </c>
      <c r="P17" s="8">
        <v>1.568551751</v>
      </c>
      <c r="U17" s="59">
        <v>32</v>
      </c>
      <c r="V17" s="9">
        <v>9.4036841510000002</v>
      </c>
      <c r="W17" s="9">
        <v>10.716297839999999</v>
      </c>
      <c r="X17" s="9">
        <v>10.77295861</v>
      </c>
      <c r="Y17" s="9">
        <v>16.276901970000001</v>
      </c>
      <c r="Z17" s="9">
        <v>21.696282960000001</v>
      </c>
    </row>
    <row r="18" spans="5:26" ht="16" thickBot="1" x14ac:dyDescent="0.4">
      <c r="E18" s="32"/>
      <c r="F18" s="32"/>
      <c r="G18" s="3">
        <v>4</v>
      </c>
      <c r="H18" s="3">
        <v>3.7788000000000002E-2</v>
      </c>
      <c r="I18" s="3">
        <f t="shared" si="2"/>
        <v>2.9352439928019476</v>
      </c>
      <c r="M18" s="32"/>
      <c r="N18" s="32"/>
      <c r="O18" s="3">
        <v>4</v>
      </c>
      <c r="P18" s="8">
        <v>2.9352439929999998</v>
      </c>
      <c r="U18" s="59">
        <v>64</v>
      </c>
      <c r="V18" s="9">
        <v>7.8837045059999999</v>
      </c>
      <c r="W18" s="9">
        <v>11.047230089999999</v>
      </c>
      <c r="X18" s="9">
        <v>12.848625459999999</v>
      </c>
      <c r="Y18" s="9">
        <v>16.924003379999998</v>
      </c>
      <c r="Z18" s="9">
        <v>22.217570970000001</v>
      </c>
    </row>
    <row r="19" spans="5:26" ht="16" thickBot="1" x14ac:dyDescent="0.4">
      <c r="E19" s="32"/>
      <c r="F19" s="32"/>
      <c r="G19" s="3">
        <v>8</v>
      </c>
      <c r="H19" s="3">
        <v>2.2733E-2</v>
      </c>
      <c r="I19" s="3">
        <f t="shared" si="2"/>
        <v>4.879118462147539</v>
      </c>
      <c r="M19" s="32"/>
      <c r="N19" s="32"/>
      <c r="O19" s="3">
        <v>8</v>
      </c>
      <c r="P19" s="8">
        <v>4.8791184620000001</v>
      </c>
    </row>
    <row r="20" spans="5:26" ht="16" thickBot="1" x14ac:dyDescent="0.4">
      <c r="E20" s="32"/>
      <c r="F20" s="32"/>
      <c r="G20" s="3">
        <v>16</v>
      </c>
      <c r="H20" s="3">
        <v>1.2226000000000001E-2</v>
      </c>
      <c r="I20" s="3">
        <f t="shared" si="2"/>
        <v>9.0722231310322261</v>
      </c>
      <c r="M20" s="32"/>
      <c r="N20" s="32"/>
      <c r="O20" s="3">
        <v>16</v>
      </c>
      <c r="P20" s="8">
        <v>9.0722231309999994</v>
      </c>
    </row>
    <row r="21" spans="5:26" ht="16" thickBot="1" x14ac:dyDescent="0.4">
      <c r="E21" s="32"/>
      <c r="F21" s="32"/>
      <c r="G21" s="3">
        <v>32</v>
      </c>
      <c r="H21" s="3">
        <v>2.4701000000000001E-2</v>
      </c>
      <c r="I21" s="3">
        <f t="shared" si="2"/>
        <v>4.4903850046556819</v>
      </c>
      <c r="M21" s="32"/>
      <c r="N21" s="32"/>
      <c r="O21" s="3">
        <v>32</v>
      </c>
      <c r="P21" s="8">
        <v>4.4903850050000003</v>
      </c>
    </row>
    <row r="22" spans="5:26" ht="16" thickBot="1" x14ac:dyDescent="0.4">
      <c r="E22" s="32"/>
      <c r="F22" s="33"/>
      <c r="G22" s="3">
        <v>64</v>
      </c>
      <c r="H22" s="3">
        <v>2.8353E-2</v>
      </c>
      <c r="I22" s="3">
        <f t="shared" si="2"/>
        <v>3.9120022572567277</v>
      </c>
      <c r="M22" s="32"/>
      <c r="N22" s="33"/>
      <c r="O22" s="3">
        <v>64</v>
      </c>
      <c r="P22" s="8">
        <v>3.9120022570000001</v>
      </c>
      <c r="U22" s="58" t="s">
        <v>6</v>
      </c>
      <c r="V22" s="58" t="s">
        <v>11</v>
      </c>
      <c r="W22" s="58" t="s">
        <v>12</v>
      </c>
      <c r="X22" s="58" t="s">
        <v>13</v>
      </c>
      <c r="Y22" s="58" t="s">
        <v>14</v>
      </c>
      <c r="Z22" s="58" t="s">
        <v>15</v>
      </c>
    </row>
    <row r="23" spans="5:26" ht="16" thickBot="1" x14ac:dyDescent="0.4">
      <c r="E23" s="32"/>
      <c r="F23" s="31">
        <v>8</v>
      </c>
      <c r="G23" s="3">
        <v>1</v>
      </c>
      <c r="H23" s="3">
        <v>0.109722</v>
      </c>
      <c r="I23" s="3">
        <f>$C$5 / H23</f>
        <v>0.99511492681504166</v>
      </c>
      <c r="M23" s="32"/>
      <c r="N23" s="31">
        <v>8</v>
      </c>
      <c r="O23" s="3">
        <v>1</v>
      </c>
      <c r="P23" s="8">
        <v>0.99511492700000004</v>
      </c>
      <c r="U23" s="59">
        <v>1</v>
      </c>
      <c r="V23" s="10">
        <v>0.98365251499999995</v>
      </c>
      <c r="W23" s="10">
        <v>0.98092261400000003</v>
      </c>
      <c r="X23" s="10">
        <v>1.0000506339999999</v>
      </c>
      <c r="Y23" s="10">
        <v>0.99600524499999998</v>
      </c>
      <c r="Z23" s="10">
        <v>1.0040362249999999</v>
      </c>
    </row>
    <row r="24" spans="5:26" ht="16" thickBot="1" x14ac:dyDescent="0.4">
      <c r="E24" s="32"/>
      <c r="F24" s="32"/>
      <c r="G24" s="3">
        <v>2</v>
      </c>
      <c r="H24" s="3">
        <v>5.5252999999999997E-2</v>
      </c>
      <c r="I24" s="3">
        <f t="shared" ref="I24:I29" si="3">$C$5 / H24</f>
        <v>1.9761098944853674</v>
      </c>
      <c r="M24" s="32"/>
      <c r="N24" s="32"/>
      <c r="O24" s="3">
        <v>2</v>
      </c>
      <c r="P24" s="8">
        <v>1.9761098939999999</v>
      </c>
      <c r="U24" s="59">
        <v>2</v>
      </c>
      <c r="V24" s="10">
        <v>0.96738931800000005</v>
      </c>
      <c r="W24" s="10">
        <v>1.004783121</v>
      </c>
      <c r="X24" s="10">
        <v>1.4272615360000001</v>
      </c>
      <c r="Y24" s="10">
        <v>1.3965546849999999</v>
      </c>
      <c r="Z24" s="10">
        <v>1.7927843160000001</v>
      </c>
    </row>
    <row r="25" spans="5:26" ht="16" thickBot="1" x14ac:dyDescent="0.4">
      <c r="E25" s="32"/>
      <c r="F25" s="32"/>
      <c r="G25" s="3">
        <v>4</v>
      </c>
      <c r="H25" s="3">
        <v>3.5802E-2</v>
      </c>
      <c r="I25" s="3">
        <f t="shared" si="3"/>
        <v>3.0497178928551478</v>
      </c>
      <c r="M25" s="32"/>
      <c r="N25" s="32"/>
      <c r="O25" s="3">
        <v>4</v>
      </c>
      <c r="P25" s="8">
        <v>3.049717893</v>
      </c>
      <c r="U25" s="59">
        <v>4</v>
      </c>
      <c r="V25" s="10">
        <v>1.4379378350000001</v>
      </c>
      <c r="W25" s="10">
        <v>1.633295014</v>
      </c>
      <c r="X25" s="10">
        <v>2.1767274300000001</v>
      </c>
      <c r="Y25" s="10">
        <v>2.449835464</v>
      </c>
      <c r="Z25" s="10">
        <v>3.705332501</v>
      </c>
    </row>
    <row r="26" spans="5:26" ht="16" thickBot="1" x14ac:dyDescent="0.4">
      <c r="E26" s="32"/>
      <c r="F26" s="32"/>
      <c r="G26" s="3">
        <v>8</v>
      </c>
      <c r="H26" s="3">
        <v>1.8110999999999999E-2</v>
      </c>
      <c r="I26" s="3">
        <f t="shared" si="3"/>
        <v>6.0287118325879305</v>
      </c>
      <c r="M26" s="32"/>
      <c r="N26" s="32"/>
      <c r="O26" s="3">
        <v>8</v>
      </c>
      <c r="P26" s="8">
        <v>6.028711833</v>
      </c>
      <c r="U26" s="59">
        <v>8</v>
      </c>
      <c r="V26" s="10">
        <v>3.7038612419999999</v>
      </c>
      <c r="W26" s="10">
        <v>3.629358667</v>
      </c>
      <c r="X26" s="10">
        <v>4.5705638420000003</v>
      </c>
      <c r="Y26" s="10">
        <v>5.4508566480000002</v>
      </c>
      <c r="Z26" s="10">
        <v>7.0704381100000004</v>
      </c>
    </row>
    <row r="27" spans="5:26" ht="16" thickBot="1" x14ac:dyDescent="0.4">
      <c r="E27" s="32"/>
      <c r="F27" s="32"/>
      <c r="G27" s="3">
        <v>16</v>
      </c>
      <c r="H27" s="3">
        <v>1.0123999999999999E-2</v>
      </c>
      <c r="I27" s="3">
        <f t="shared" si="3"/>
        <v>10.784867641248519</v>
      </c>
      <c r="M27" s="32"/>
      <c r="N27" s="32"/>
      <c r="O27" s="3">
        <v>16</v>
      </c>
      <c r="P27" s="8">
        <v>10.78486764</v>
      </c>
      <c r="U27" s="59">
        <v>16</v>
      </c>
      <c r="V27" s="10">
        <v>7.2168137459999997</v>
      </c>
      <c r="W27" s="10">
        <v>8.3740066599999992</v>
      </c>
      <c r="X27" s="10">
        <v>8.2563989870000007</v>
      </c>
      <c r="Y27" s="10">
        <v>9.9722600900000007</v>
      </c>
      <c r="Z27" s="10">
        <v>13.71879019</v>
      </c>
    </row>
    <row r="28" spans="5:26" ht="16" thickBot="1" x14ac:dyDescent="0.4">
      <c r="E28" s="32"/>
      <c r="F28" s="32"/>
      <c r="G28" s="3">
        <v>32</v>
      </c>
      <c r="H28" s="3">
        <v>1.1168000000000001E-2</v>
      </c>
      <c r="I28" s="3">
        <f t="shared" si="3"/>
        <v>9.7766833810888247</v>
      </c>
      <c r="M28" s="32"/>
      <c r="N28" s="32"/>
      <c r="O28" s="3">
        <v>32</v>
      </c>
      <c r="P28" s="8">
        <v>9.7766833809999998</v>
      </c>
      <c r="U28" s="59">
        <v>32</v>
      </c>
      <c r="V28" s="10">
        <v>9.359539539</v>
      </c>
      <c r="W28" s="10">
        <v>15.275947410000001</v>
      </c>
      <c r="X28" s="10">
        <v>13.57118717</v>
      </c>
      <c r="Y28" s="10">
        <v>17.291604199999998</v>
      </c>
      <c r="Z28" s="10">
        <v>27.784403520000001</v>
      </c>
    </row>
    <row r="29" spans="5:26" ht="16" thickBot="1" x14ac:dyDescent="0.4">
      <c r="E29" s="32"/>
      <c r="F29" s="33"/>
      <c r="G29" s="3">
        <v>64</v>
      </c>
      <c r="H29" s="3">
        <v>2.3486E-2</v>
      </c>
      <c r="I29" s="3">
        <f t="shared" si="3"/>
        <v>4.6489823724772208</v>
      </c>
      <c r="M29" s="32"/>
      <c r="N29" s="33"/>
      <c r="O29" s="3">
        <v>64</v>
      </c>
      <c r="P29" s="8">
        <v>4.6489823719999999</v>
      </c>
      <c r="U29" s="59">
        <v>64</v>
      </c>
      <c r="V29" s="10">
        <v>13.736813100000001</v>
      </c>
      <c r="W29" s="10">
        <v>18.688976780000001</v>
      </c>
      <c r="X29" s="10">
        <v>21.50663544</v>
      </c>
      <c r="Y29" s="10">
        <v>25.127237560000001</v>
      </c>
      <c r="Z29" s="10">
        <v>29.815442839999999</v>
      </c>
    </row>
    <row r="30" spans="5:26" ht="16" thickBot="1" x14ac:dyDescent="0.4">
      <c r="E30" s="32"/>
      <c r="F30" s="31">
        <v>16</v>
      </c>
      <c r="G30" s="3">
        <v>1</v>
      </c>
      <c r="H30" s="3">
        <v>0.16750000000000001</v>
      </c>
      <c r="I30" s="3">
        <f>$C$6 / H30</f>
        <v>1.0024776119402985</v>
      </c>
      <c r="M30" s="32"/>
      <c r="N30" s="31">
        <v>16</v>
      </c>
      <c r="O30" s="3">
        <v>1</v>
      </c>
      <c r="P30" s="8">
        <v>1.0024776120000001</v>
      </c>
    </row>
    <row r="31" spans="5:26" ht="16" thickBot="1" x14ac:dyDescent="0.4">
      <c r="E31" s="32"/>
      <c r="F31" s="32"/>
      <c r="G31" s="3">
        <v>2</v>
      </c>
      <c r="H31" s="3">
        <v>8.4164000000000003E-2</v>
      </c>
      <c r="I31" s="3">
        <f t="shared" ref="I31:I36" si="4">$C$6 / H31</f>
        <v>1.9950929138348938</v>
      </c>
      <c r="M31" s="32"/>
      <c r="N31" s="32"/>
      <c r="O31" s="3">
        <v>2</v>
      </c>
      <c r="P31" s="8">
        <v>1.995092914</v>
      </c>
    </row>
    <row r="32" spans="5:26" ht="16" thickBot="1" x14ac:dyDescent="0.4">
      <c r="E32" s="32"/>
      <c r="F32" s="32"/>
      <c r="G32" s="3">
        <v>4</v>
      </c>
      <c r="H32" s="3">
        <v>4.5036E-2</v>
      </c>
      <c r="I32" s="3">
        <f t="shared" si="4"/>
        <v>3.7284616751043611</v>
      </c>
      <c r="M32" s="32"/>
      <c r="N32" s="32"/>
      <c r="O32" s="3">
        <v>4</v>
      </c>
      <c r="P32" s="8">
        <v>3.7284616750000001</v>
      </c>
    </row>
    <row r="33" spans="5:16" ht="16" thickBot="1" x14ac:dyDescent="0.4">
      <c r="E33" s="32"/>
      <c r="F33" s="32"/>
      <c r="G33" s="3">
        <v>8</v>
      </c>
      <c r="H33" s="3">
        <v>2.3692000000000001E-2</v>
      </c>
      <c r="I33" s="3">
        <f t="shared" si="4"/>
        <v>7.0874134729022451</v>
      </c>
      <c r="M33" s="32"/>
      <c r="N33" s="32"/>
      <c r="O33" s="3">
        <v>8</v>
      </c>
      <c r="P33" s="8">
        <v>7.0874134729999998</v>
      </c>
    </row>
    <row r="34" spans="5:16" ht="16" thickBot="1" x14ac:dyDescent="0.4">
      <c r="E34" s="32"/>
      <c r="F34" s="32"/>
      <c r="G34" s="3">
        <v>16</v>
      </c>
      <c r="H34" s="3">
        <v>1.3009E-2</v>
      </c>
      <c r="I34" s="3">
        <f t="shared" si="4"/>
        <v>12.907602429087556</v>
      </c>
      <c r="M34" s="32"/>
      <c r="N34" s="32"/>
      <c r="O34" s="3">
        <v>16</v>
      </c>
      <c r="P34" s="8">
        <v>12.907602430000001</v>
      </c>
    </row>
    <row r="35" spans="5:16" ht="16" thickBot="1" x14ac:dyDescent="0.4">
      <c r="E35" s="32"/>
      <c r="F35" s="32"/>
      <c r="G35" s="3">
        <v>32</v>
      </c>
      <c r="H35" s="3">
        <v>2.2037000000000001E-2</v>
      </c>
      <c r="I35" s="3">
        <f t="shared" si="4"/>
        <v>7.6196850751009668</v>
      </c>
      <c r="M35" s="32"/>
      <c r="N35" s="32"/>
      <c r="O35" s="3">
        <v>32</v>
      </c>
      <c r="P35" s="8">
        <v>7.6196850749999996</v>
      </c>
    </row>
    <row r="36" spans="5:16" ht="16" thickBot="1" x14ac:dyDescent="0.4">
      <c r="E36" s="33"/>
      <c r="F36" s="33"/>
      <c r="G36" s="3">
        <v>64</v>
      </c>
      <c r="H36" s="3">
        <v>2.426E-2</v>
      </c>
      <c r="I36" s="3">
        <f t="shared" si="4"/>
        <v>6.9214756801319046</v>
      </c>
      <c r="M36" s="33"/>
      <c r="N36" s="33"/>
      <c r="O36" s="3">
        <v>64</v>
      </c>
      <c r="P36" s="8">
        <v>6.9214756800000004</v>
      </c>
    </row>
    <row r="37" spans="5:16" ht="16" thickBot="1" x14ac:dyDescent="0.4">
      <c r="E37" s="34" t="s">
        <v>4</v>
      </c>
      <c r="F37" s="37">
        <v>2</v>
      </c>
      <c r="G37" s="5">
        <v>1</v>
      </c>
      <c r="H37" s="5">
        <v>0.170316</v>
      </c>
      <c r="I37" s="5">
        <f>$C$7 /H37</f>
        <v>0.98312548439371528</v>
      </c>
      <c r="M37" s="34" t="s">
        <v>4</v>
      </c>
      <c r="N37" s="37">
        <v>2</v>
      </c>
      <c r="O37" s="5">
        <v>1</v>
      </c>
      <c r="P37" s="9">
        <v>0.98312548399999999</v>
      </c>
    </row>
    <row r="38" spans="5:16" ht="16" thickBot="1" x14ac:dyDescent="0.4">
      <c r="E38" s="35"/>
      <c r="F38" s="38"/>
      <c r="G38" s="5">
        <v>2</v>
      </c>
      <c r="H38" s="5">
        <v>0.139047</v>
      </c>
      <c r="I38" s="5">
        <f t="shared" ref="I38:I43" si="5">$C$7 /H38</f>
        <v>1.2042115255992578</v>
      </c>
      <c r="M38" s="35"/>
      <c r="N38" s="38"/>
      <c r="O38" s="5">
        <v>2</v>
      </c>
      <c r="P38" s="9">
        <v>1.2042115259999999</v>
      </c>
    </row>
    <row r="39" spans="5:16" ht="16" thickBot="1" x14ac:dyDescent="0.4">
      <c r="E39" s="35"/>
      <c r="F39" s="38"/>
      <c r="G39" s="5">
        <v>4</v>
      </c>
      <c r="H39" s="5">
        <v>8.3299999999999999E-2</v>
      </c>
      <c r="I39" s="5">
        <f t="shared" si="5"/>
        <v>2.0101080432172869</v>
      </c>
      <c r="M39" s="35"/>
      <c r="N39" s="38"/>
      <c r="O39" s="5">
        <v>4</v>
      </c>
      <c r="P39" s="9">
        <v>2.0101080429999998</v>
      </c>
    </row>
    <row r="40" spans="5:16" ht="16" thickBot="1" x14ac:dyDescent="0.4">
      <c r="E40" s="35"/>
      <c r="F40" s="38"/>
      <c r="G40" s="5">
        <v>8</v>
      </c>
      <c r="H40" s="5">
        <v>4.4123999999999997E-2</v>
      </c>
      <c r="I40" s="5">
        <f t="shared" si="5"/>
        <v>3.7948055480010883</v>
      </c>
      <c r="M40" s="35"/>
      <c r="N40" s="38"/>
      <c r="O40" s="5">
        <v>8</v>
      </c>
      <c r="P40" s="9">
        <v>3.7948055479999998</v>
      </c>
    </row>
    <row r="41" spans="5:16" ht="16" thickBot="1" x14ac:dyDescent="0.4">
      <c r="E41" s="35"/>
      <c r="F41" s="38"/>
      <c r="G41" s="5">
        <v>16</v>
      </c>
      <c r="H41" s="5">
        <v>2.3496E-2</v>
      </c>
      <c r="I41" s="5">
        <f t="shared" si="5"/>
        <v>7.1264044943820233</v>
      </c>
      <c r="M41" s="35"/>
      <c r="N41" s="38"/>
      <c r="O41" s="5">
        <v>16</v>
      </c>
      <c r="P41" s="9">
        <v>7.126404494</v>
      </c>
    </row>
    <row r="42" spans="5:16" ht="16" thickBot="1" x14ac:dyDescent="0.4">
      <c r="E42" s="35"/>
      <c r="F42" s="38"/>
      <c r="G42" s="5">
        <v>32</v>
      </c>
      <c r="H42" s="5">
        <v>1.7805999999999999E-2</v>
      </c>
      <c r="I42" s="5">
        <f t="shared" si="5"/>
        <v>9.4036841514096388</v>
      </c>
      <c r="M42" s="35"/>
      <c r="N42" s="38"/>
      <c r="O42" s="5">
        <v>32</v>
      </c>
      <c r="P42" s="9">
        <v>9.4036841510000002</v>
      </c>
    </row>
    <row r="43" spans="5:16" ht="16" thickBot="1" x14ac:dyDescent="0.4">
      <c r="E43" s="35"/>
      <c r="F43" s="39"/>
      <c r="G43" s="5">
        <v>64</v>
      </c>
      <c r="H43" s="5">
        <v>2.1239000000000001E-2</v>
      </c>
      <c r="I43" s="5">
        <f t="shared" si="5"/>
        <v>7.883704505861858</v>
      </c>
      <c r="M43" s="35"/>
      <c r="N43" s="39"/>
      <c r="O43" s="5">
        <v>64</v>
      </c>
      <c r="P43" s="9">
        <v>7.8837045059999999</v>
      </c>
    </row>
    <row r="44" spans="5:16" ht="16" thickBot="1" x14ac:dyDescent="0.4">
      <c r="E44" s="35"/>
      <c r="F44" s="37">
        <v>4</v>
      </c>
      <c r="G44" s="5">
        <v>1</v>
      </c>
      <c r="H44" s="5">
        <v>0.90143499999999999</v>
      </c>
      <c r="I44" s="5">
        <f>$C$8/H44</f>
        <v>0.97823137552901773</v>
      </c>
      <c r="M44" s="35"/>
      <c r="N44" s="37">
        <v>4</v>
      </c>
      <c r="O44" s="5">
        <v>1</v>
      </c>
      <c r="P44" s="9">
        <v>0.97823137599999999</v>
      </c>
    </row>
    <row r="45" spans="5:16" ht="16" thickBot="1" x14ac:dyDescent="0.4">
      <c r="E45" s="35"/>
      <c r="F45" s="38"/>
      <c r="G45" s="5">
        <v>2</v>
      </c>
      <c r="H45" s="5">
        <v>0.64510999999999996</v>
      </c>
      <c r="I45" s="5">
        <f t="shared" ref="I45:I50" si="6">$C$8/H45</f>
        <v>1.366917269922959</v>
      </c>
      <c r="M45" s="35"/>
      <c r="N45" s="38"/>
      <c r="O45" s="5">
        <v>2</v>
      </c>
      <c r="P45" s="9">
        <v>1.3669172700000001</v>
      </c>
    </row>
    <row r="46" spans="5:16" ht="16" thickBot="1" x14ac:dyDescent="0.4">
      <c r="E46" s="35"/>
      <c r="F46" s="38"/>
      <c r="G46" s="5">
        <v>4</v>
      </c>
      <c r="H46" s="5">
        <v>0.33887600000000001</v>
      </c>
      <c r="I46" s="5">
        <f t="shared" si="6"/>
        <v>2.6021671643905147</v>
      </c>
      <c r="M46" s="35"/>
      <c r="N46" s="38"/>
      <c r="O46" s="5">
        <v>4</v>
      </c>
      <c r="P46" s="9">
        <v>2.6021671639999999</v>
      </c>
    </row>
    <row r="47" spans="5:16" ht="16" thickBot="1" x14ac:dyDescent="0.4">
      <c r="E47" s="35"/>
      <c r="F47" s="38"/>
      <c r="G47" s="5">
        <v>8</v>
      </c>
      <c r="H47" s="5">
        <v>0.181093</v>
      </c>
      <c r="I47" s="5">
        <f t="shared" si="6"/>
        <v>4.8693875522521575</v>
      </c>
      <c r="M47" s="35"/>
      <c r="N47" s="38"/>
      <c r="O47" s="5">
        <v>8</v>
      </c>
      <c r="P47" s="9">
        <v>4.8693875520000001</v>
      </c>
    </row>
    <row r="48" spans="5:16" ht="16" thickBot="1" x14ac:dyDescent="0.4">
      <c r="E48" s="35"/>
      <c r="F48" s="38"/>
      <c r="G48" s="5">
        <v>16</v>
      </c>
      <c r="H48" s="5">
        <v>9.3242000000000005E-2</v>
      </c>
      <c r="I48" s="5">
        <f t="shared" si="6"/>
        <v>9.4572402994358757</v>
      </c>
      <c r="M48" s="35"/>
      <c r="N48" s="38"/>
      <c r="O48" s="5">
        <v>16</v>
      </c>
      <c r="P48" s="9">
        <v>9.4572402990000004</v>
      </c>
    </row>
    <row r="49" spans="5:16" ht="16" thickBot="1" x14ac:dyDescent="0.4">
      <c r="E49" s="35"/>
      <c r="F49" s="38"/>
      <c r="G49" s="5">
        <v>32</v>
      </c>
      <c r="H49" s="5">
        <v>8.2286999999999999E-2</v>
      </c>
      <c r="I49" s="5">
        <f t="shared" si="6"/>
        <v>10.716297835624097</v>
      </c>
      <c r="M49" s="35"/>
      <c r="N49" s="38"/>
      <c r="O49" s="5">
        <v>32</v>
      </c>
      <c r="P49" s="9">
        <v>10.716297839999999</v>
      </c>
    </row>
    <row r="50" spans="5:16" ht="16" thickBot="1" x14ac:dyDescent="0.4">
      <c r="E50" s="35"/>
      <c r="F50" s="39"/>
      <c r="G50" s="5">
        <v>64</v>
      </c>
      <c r="H50" s="5">
        <v>7.9822000000000004E-2</v>
      </c>
      <c r="I50" s="5">
        <f t="shared" si="6"/>
        <v>11.047230086943449</v>
      </c>
      <c r="M50" s="35"/>
      <c r="N50" s="39"/>
      <c r="O50" s="5">
        <v>64</v>
      </c>
      <c r="P50" s="9">
        <v>11.047230089999999</v>
      </c>
    </row>
    <row r="51" spans="5:16" ht="16" thickBot="1" x14ac:dyDescent="0.4">
      <c r="E51" s="35"/>
      <c r="F51" s="37">
        <v>6</v>
      </c>
      <c r="G51" s="5">
        <v>1</v>
      </c>
      <c r="H51" s="5">
        <v>0.91743200000000003</v>
      </c>
      <c r="I51" s="5">
        <f>$C$9/H51</f>
        <v>0.99901791086423841</v>
      </c>
      <c r="M51" s="35"/>
      <c r="N51" s="37">
        <v>6</v>
      </c>
      <c r="O51" s="5">
        <v>1</v>
      </c>
      <c r="P51" s="9">
        <v>0.99901791100000004</v>
      </c>
    </row>
    <row r="52" spans="5:16" ht="16" thickBot="1" x14ac:dyDescent="0.4">
      <c r="E52" s="35"/>
      <c r="F52" s="38"/>
      <c r="G52" s="5">
        <v>2</v>
      </c>
      <c r="H52" s="5">
        <v>0.62815399999999999</v>
      </c>
      <c r="I52" s="5">
        <f t="shared" ref="I52:I57" si="7">$C$9/H52</f>
        <v>1.4590864660576865</v>
      </c>
      <c r="M52" s="35"/>
      <c r="N52" s="38"/>
      <c r="O52" s="5">
        <v>2</v>
      </c>
      <c r="P52" s="9">
        <v>1.459086466</v>
      </c>
    </row>
    <row r="53" spans="5:16" ht="16" thickBot="1" x14ac:dyDescent="0.4">
      <c r="E53" s="35"/>
      <c r="F53" s="38"/>
      <c r="G53" s="5">
        <v>4</v>
      </c>
      <c r="H53" s="5">
        <v>0.36513099999999998</v>
      </c>
      <c r="I53" s="5">
        <f t="shared" si="7"/>
        <v>2.5101429350014106</v>
      </c>
      <c r="M53" s="35"/>
      <c r="N53" s="38"/>
      <c r="O53" s="5">
        <v>4</v>
      </c>
      <c r="P53" s="9">
        <v>2.5101429350000002</v>
      </c>
    </row>
    <row r="54" spans="5:16" ht="16" thickBot="1" x14ac:dyDescent="0.4">
      <c r="E54" s="35"/>
      <c r="F54" s="38"/>
      <c r="G54" s="5">
        <v>8</v>
      </c>
      <c r="H54" s="5">
        <v>0.177347</v>
      </c>
      <c r="I54" s="5">
        <f t="shared" si="7"/>
        <v>5.1680096082820679</v>
      </c>
      <c r="M54" s="35"/>
      <c r="N54" s="38"/>
      <c r="O54" s="5">
        <v>8</v>
      </c>
      <c r="P54" s="9">
        <v>5.1680096080000002</v>
      </c>
    </row>
    <row r="55" spans="5:16" ht="16" thickBot="1" x14ac:dyDescent="0.4">
      <c r="E55" s="35"/>
      <c r="F55" s="38"/>
      <c r="G55" s="5">
        <v>16</v>
      </c>
      <c r="H55" s="5">
        <v>9.0265999999999999E-2</v>
      </c>
      <c r="I55" s="5">
        <f t="shared" si="7"/>
        <v>10.153668047769925</v>
      </c>
      <c r="M55" s="35"/>
      <c r="N55" s="38"/>
      <c r="O55" s="5">
        <v>16</v>
      </c>
      <c r="P55" s="9">
        <v>10.15366805</v>
      </c>
    </row>
    <row r="56" spans="5:16" ht="16" thickBot="1" x14ac:dyDescent="0.4">
      <c r="E56" s="35"/>
      <c r="F56" s="38"/>
      <c r="G56" s="5">
        <v>32</v>
      </c>
      <c r="H56" s="5">
        <v>8.5077E-2</v>
      </c>
      <c r="I56" s="5">
        <f t="shared" si="7"/>
        <v>10.772958613961469</v>
      </c>
      <c r="M56" s="35"/>
      <c r="N56" s="38"/>
      <c r="O56" s="5">
        <v>32</v>
      </c>
      <c r="P56" s="9">
        <v>10.77295861</v>
      </c>
    </row>
    <row r="57" spans="5:16" ht="16" thickBot="1" x14ac:dyDescent="0.4">
      <c r="E57" s="35"/>
      <c r="F57" s="39"/>
      <c r="G57" s="5">
        <v>64</v>
      </c>
      <c r="H57" s="5">
        <v>7.1332999999999994E-2</v>
      </c>
      <c r="I57" s="5">
        <f t="shared" si="7"/>
        <v>12.848625460866641</v>
      </c>
      <c r="M57" s="35"/>
      <c r="N57" s="39"/>
      <c r="O57" s="5">
        <v>64</v>
      </c>
      <c r="P57" s="9">
        <v>12.848625459999999</v>
      </c>
    </row>
    <row r="58" spans="5:16" ht="16" thickBot="1" x14ac:dyDescent="0.4">
      <c r="E58" s="35"/>
      <c r="F58" s="37">
        <v>8</v>
      </c>
      <c r="G58" s="5">
        <v>1</v>
      </c>
      <c r="H58" s="5">
        <v>4.207732</v>
      </c>
      <c r="I58" s="5">
        <f>$C$10/H58</f>
        <v>0.99551896366023307</v>
      </c>
      <c r="M58" s="35"/>
      <c r="N58" s="37">
        <v>8</v>
      </c>
      <c r="O58" s="5">
        <v>1</v>
      </c>
      <c r="P58" s="9">
        <v>0.99551896399999995</v>
      </c>
    </row>
    <row r="59" spans="5:16" ht="16" thickBot="1" x14ac:dyDescent="0.4">
      <c r="E59" s="35"/>
      <c r="F59" s="38"/>
      <c r="G59" s="5">
        <v>2</v>
      </c>
      <c r="H59" s="5">
        <v>2.9562710000000001</v>
      </c>
      <c r="I59" s="5">
        <f t="shared" ref="I59:I64" si="8">$C$10/H59</f>
        <v>1.4169462136590318</v>
      </c>
      <c r="M59" s="35"/>
      <c r="N59" s="38"/>
      <c r="O59" s="5">
        <v>2</v>
      </c>
      <c r="P59" s="9">
        <v>1.416946214</v>
      </c>
    </row>
    <row r="60" spans="5:16" ht="16" thickBot="1" x14ac:dyDescent="0.4">
      <c r="E60" s="35"/>
      <c r="F60" s="38"/>
      <c r="G60" s="5">
        <v>4</v>
      </c>
      <c r="H60" s="5">
        <v>1.3402780000000001</v>
      </c>
      <c r="I60" s="5">
        <f t="shared" si="8"/>
        <v>3.1253792123723581</v>
      </c>
      <c r="M60" s="35"/>
      <c r="N60" s="38"/>
      <c r="O60" s="5">
        <v>4</v>
      </c>
      <c r="P60" s="9">
        <v>3.1253792119999999</v>
      </c>
    </row>
    <row r="61" spans="5:16" ht="16" thickBot="1" x14ac:dyDescent="0.4">
      <c r="E61" s="35"/>
      <c r="F61" s="38"/>
      <c r="G61" s="5">
        <v>8</v>
      </c>
      <c r="H61" s="5">
        <v>0.71093799999999996</v>
      </c>
      <c r="I61" s="5">
        <f t="shared" si="8"/>
        <v>5.8920426253766154</v>
      </c>
      <c r="M61" s="35"/>
      <c r="N61" s="38"/>
      <c r="O61" s="5">
        <v>8</v>
      </c>
      <c r="P61" s="9">
        <v>5.8920426250000002</v>
      </c>
    </row>
    <row r="62" spans="5:16" ht="16" thickBot="1" x14ac:dyDescent="0.4">
      <c r="E62" s="35"/>
      <c r="F62" s="38"/>
      <c r="G62" s="5">
        <v>16</v>
      </c>
      <c r="H62" s="5">
        <v>0.359018</v>
      </c>
      <c r="I62" s="5">
        <f t="shared" si="8"/>
        <v>11.667596053679759</v>
      </c>
      <c r="M62" s="35"/>
      <c r="N62" s="38"/>
      <c r="O62" s="5">
        <v>16</v>
      </c>
      <c r="P62" s="9">
        <v>11.66759605</v>
      </c>
    </row>
    <row r="63" spans="5:16" ht="16" thickBot="1" x14ac:dyDescent="0.4">
      <c r="E63" s="35"/>
      <c r="F63" s="38"/>
      <c r="G63" s="5">
        <v>32</v>
      </c>
      <c r="H63" s="5">
        <v>0.257351</v>
      </c>
      <c r="I63" s="5">
        <f t="shared" si="8"/>
        <v>16.27690197434632</v>
      </c>
      <c r="M63" s="35"/>
      <c r="N63" s="38"/>
      <c r="O63" s="5">
        <v>32</v>
      </c>
      <c r="P63" s="9">
        <v>16.276901970000001</v>
      </c>
    </row>
    <row r="64" spans="5:16" ht="16" thickBot="1" x14ac:dyDescent="0.4">
      <c r="E64" s="35"/>
      <c r="F64" s="39"/>
      <c r="G64" s="5">
        <v>64</v>
      </c>
      <c r="H64" s="5">
        <v>0.24751100000000001</v>
      </c>
      <c r="I64" s="5">
        <f t="shared" si="8"/>
        <v>16.92400337762766</v>
      </c>
      <c r="M64" s="35"/>
      <c r="N64" s="39"/>
      <c r="O64" s="5">
        <v>64</v>
      </c>
      <c r="P64" s="9">
        <v>16.924003379999998</v>
      </c>
    </row>
    <row r="65" spans="5:16" ht="16" thickBot="1" x14ac:dyDescent="0.4">
      <c r="E65" s="35"/>
      <c r="F65" s="37">
        <v>16</v>
      </c>
      <c r="G65" s="5">
        <v>1</v>
      </c>
      <c r="H65" s="5">
        <v>6.7438149999999997</v>
      </c>
      <c r="I65" s="5">
        <f>$C$11/H65</f>
        <v>1.0045358598953262</v>
      </c>
      <c r="M65" s="35"/>
      <c r="N65" s="37">
        <v>16</v>
      </c>
      <c r="O65" s="5">
        <v>1</v>
      </c>
      <c r="P65" s="9">
        <v>1.0045358600000001</v>
      </c>
    </row>
    <row r="66" spans="5:16" ht="16" thickBot="1" x14ac:dyDescent="0.4">
      <c r="E66" s="35"/>
      <c r="F66" s="38"/>
      <c r="G66" s="5">
        <v>2</v>
      </c>
      <c r="H66" s="5">
        <v>3.7457959999999999</v>
      </c>
      <c r="I66" s="5">
        <f t="shared" ref="I66:I71" si="9">$C$11/H66</f>
        <v>1.8085352218860824</v>
      </c>
      <c r="M66" s="35"/>
      <c r="N66" s="38"/>
      <c r="O66" s="5">
        <v>2</v>
      </c>
      <c r="P66" s="9">
        <v>1.8085352219999999</v>
      </c>
    </row>
    <row r="67" spans="5:16" ht="16" thickBot="1" x14ac:dyDescent="0.4">
      <c r="E67" s="35"/>
      <c r="F67" s="38"/>
      <c r="G67" s="5">
        <v>4</v>
      </c>
      <c r="H67" s="5">
        <v>1.929457</v>
      </c>
      <c r="I67" s="5">
        <f t="shared" si="9"/>
        <v>3.5110417075892335</v>
      </c>
      <c r="M67" s="35"/>
      <c r="N67" s="38"/>
      <c r="O67" s="5">
        <v>4</v>
      </c>
      <c r="P67" s="9">
        <v>3.511041708</v>
      </c>
    </row>
    <row r="68" spans="5:16" ht="16" thickBot="1" x14ac:dyDescent="0.4">
      <c r="E68" s="35"/>
      <c r="F68" s="38"/>
      <c r="G68" s="5">
        <v>8</v>
      </c>
      <c r="H68" s="5">
        <v>1.0341020000000001</v>
      </c>
      <c r="I68" s="5">
        <f t="shared" si="9"/>
        <v>6.5510017387066259</v>
      </c>
      <c r="M68" s="35"/>
      <c r="N68" s="38"/>
      <c r="O68" s="5">
        <v>8</v>
      </c>
      <c r="P68" s="9">
        <v>6.5510017390000002</v>
      </c>
    </row>
    <row r="69" spans="5:16" ht="16" thickBot="1" x14ac:dyDescent="0.4">
      <c r="E69" s="35"/>
      <c r="F69" s="38"/>
      <c r="G69" s="5">
        <v>16</v>
      </c>
      <c r="H69" s="5">
        <v>0.49196699999999999</v>
      </c>
      <c r="I69" s="5">
        <f t="shared" si="9"/>
        <v>13.770037421209146</v>
      </c>
      <c r="M69" s="35"/>
      <c r="N69" s="38"/>
      <c r="O69" s="5">
        <v>16</v>
      </c>
      <c r="P69" s="9">
        <v>13.77003742</v>
      </c>
    </row>
    <row r="70" spans="5:16" ht="16" thickBot="1" x14ac:dyDescent="0.4">
      <c r="E70" s="35"/>
      <c r="F70" s="38"/>
      <c r="G70" s="5">
        <v>32</v>
      </c>
      <c r="H70" s="5">
        <v>0.31223800000000002</v>
      </c>
      <c r="I70" s="5">
        <f t="shared" si="9"/>
        <v>21.696282963636712</v>
      </c>
      <c r="M70" s="35"/>
      <c r="N70" s="38"/>
      <c r="O70" s="5">
        <v>32</v>
      </c>
      <c r="P70" s="9">
        <v>21.696282960000001</v>
      </c>
    </row>
    <row r="71" spans="5:16" ht="16" thickBot="1" x14ac:dyDescent="0.4">
      <c r="E71" s="36"/>
      <c r="F71" s="39"/>
      <c r="G71" s="5">
        <v>64</v>
      </c>
      <c r="H71" s="5">
        <v>0.30491200000000002</v>
      </c>
      <c r="I71" s="5">
        <f t="shared" si="9"/>
        <v>22.217570971296634</v>
      </c>
      <c r="M71" s="36"/>
      <c r="N71" s="39"/>
      <c r="O71" s="5">
        <v>64</v>
      </c>
      <c r="P71" s="9">
        <v>22.217570970000001</v>
      </c>
    </row>
    <row r="72" spans="5:16" ht="16" thickBot="1" x14ac:dyDescent="0.4">
      <c r="E72" s="19" t="s">
        <v>5</v>
      </c>
      <c r="F72" s="22">
        <v>2</v>
      </c>
      <c r="G72" s="4">
        <v>1</v>
      </c>
      <c r="H72" s="4">
        <v>1.571312</v>
      </c>
      <c r="I72" s="4">
        <f>$C$12/H72</f>
        <v>0.98365251458653657</v>
      </c>
      <c r="M72" s="19" t="s">
        <v>5</v>
      </c>
      <c r="N72" s="22">
        <v>2</v>
      </c>
      <c r="O72" s="4">
        <v>1</v>
      </c>
      <c r="P72" s="10">
        <v>0.98365251499999995</v>
      </c>
    </row>
    <row r="73" spans="5:16" ht="16" thickBot="1" x14ac:dyDescent="0.4">
      <c r="E73" s="20"/>
      <c r="F73" s="23"/>
      <c r="G73" s="4">
        <v>2</v>
      </c>
      <c r="H73" s="4">
        <v>1.597728</v>
      </c>
      <c r="I73" s="4">
        <f t="shared" ref="I73:I78" si="10">$C$12/H73</f>
        <v>0.96738931783132043</v>
      </c>
      <c r="M73" s="20"/>
      <c r="N73" s="23"/>
      <c r="O73" s="4">
        <v>2</v>
      </c>
      <c r="P73" s="10">
        <v>0.96738931800000005</v>
      </c>
    </row>
    <row r="74" spans="5:16" ht="16" thickBot="1" x14ac:dyDescent="0.4">
      <c r="E74" s="20"/>
      <c r="F74" s="23"/>
      <c r="G74" s="4">
        <v>4</v>
      </c>
      <c r="H74" s="4">
        <v>1.0748899999999999</v>
      </c>
      <c r="I74" s="4">
        <f t="shared" si="10"/>
        <v>1.4379378354994465</v>
      </c>
      <c r="M74" s="20"/>
      <c r="N74" s="23"/>
      <c r="O74" s="4">
        <v>4</v>
      </c>
      <c r="P74" s="10">
        <v>1.4379378350000001</v>
      </c>
    </row>
    <row r="75" spans="5:16" ht="16" thickBot="1" x14ac:dyDescent="0.4">
      <c r="E75" s="20"/>
      <c r="F75" s="23"/>
      <c r="G75" s="4">
        <v>8</v>
      </c>
      <c r="H75" s="4">
        <v>0.41730099999999998</v>
      </c>
      <c r="I75" s="4">
        <f t="shared" si="10"/>
        <v>3.7038612416457188</v>
      </c>
      <c r="M75" s="20"/>
      <c r="N75" s="23"/>
      <c r="O75" s="4">
        <v>8</v>
      </c>
      <c r="P75" s="10">
        <v>3.7038612419999999</v>
      </c>
    </row>
    <row r="76" spans="5:16" ht="16" thickBot="1" x14ac:dyDescent="0.4">
      <c r="E76" s="20"/>
      <c r="F76" s="23"/>
      <c r="G76" s="4">
        <v>16</v>
      </c>
      <c r="H76" s="4">
        <v>0.21417</v>
      </c>
      <c r="I76" s="4">
        <f t="shared" si="10"/>
        <v>7.2168137460895556</v>
      </c>
      <c r="M76" s="20"/>
      <c r="N76" s="23"/>
      <c r="O76" s="4">
        <v>16</v>
      </c>
      <c r="P76" s="10">
        <v>7.2168137459999997</v>
      </c>
    </row>
    <row r="77" spans="5:16" ht="16" thickBot="1" x14ac:dyDescent="0.4">
      <c r="E77" s="20"/>
      <c r="F77" s="23"/>
      <c r="G77" s="4">
        <v>32</v>
      </c>
      <c r="H77" s="4">
        <v>0.16513900000000001</v>
      </c>
      <c r="I77" s="4">
        <f t="shared" si="10"/>
        <v>9.3595395394183072</v>
      </c>
      <c r="M77" s="20"/>
      <c r="N77" s="23"/>
      <c r="O77" s="4">
        <v>32</v>
      </c>
      <c r="P77" s="10">
        <v>9.359539539</v>
      </c>
    </row>
    <row r="78" spans="5:16" ht="16" thickBot="1" x14ac:dyDescent="0.4">
      <c r="E78" s="20"/>
      <c r="F78" s="24"/>
      <c r="G78" s="4">
        <v>64</v>
      </c>
      <c r="H78" s="4">
        <v>0.11251700000000001</v>
      </c>
      <c r="I78" s="4">
        <f t="shared" si="10"/>
        <v>13.736813103797648</v>
      </c>
      <c r="M78" s="20"/>
      <c r="N78" s="24"/>
      <c r="O78" s="4">
        <v>64</v>
      </c>
      <c r="P78" s="10">
        <v>13.736813100000001</v>
      </c>
    </row>
    <row r="79" spans="5:16" ht="16" thickBot="1" x14ac:dyDescent="0.4">
      <c r="E79" s="20"/>
      <c r="F79" s="22">
        <v>4</v>
      </c>
      <c r="G79" s="4">
        <v>1</v>
      </c>
      <c r="H79" s="4">
        <v>6.7828999999999997</v>
      </c>
      <c r="I79" s="4">
        <f>$C$13/H79</f>
        <v>0.98092261422105598</v>
      </c>
      <c r="M79" s="20"/>
      <c r="N79" s="22">
        <v>4</v>
      </c>
      <c r="O79" s="4">
        <v>1</v>
      </c>
      <c r="P79" s="10">
        <v>0.98092261400000003</v>
      </c>
    </row>
    <row r="80" spans="5:16" ht="16" thickBot="1" x14ac:dyDescent="0.4">
      <c r="E80" s="20"/>
      <c r="F80" s="23"/>
      <c r="G80" s="4">
        <v>2</v>
      </c>
      <c r="H80" s="4">
        <v>6.6218269999999997</v>
      </c>
      <c r="I80" s="4">
        <f t="shared" ref="I80:I85" si="11">$C$13/H80</f>
        <v>1.0047831210329115</v>
      </c>
      <c r="M80" s="20"/>
      <c r="N80" s="23"/>
      <c r="O80" s="4">
        <v>2</v>
      </c>
      <c r="P80" s="10">
        <v>1.004783121</v>
      </c>
    </row>
    <row r="81" spans="5:16" ht="16" thickBot="1" x14ac:dyDescent="0.4">
      <c r="E81" s="20"/>
      <c r="F81" s="23"/>
      <c r="G81" s="4">
        <v>4</v>
      </c>
      <c r="H81" s="4">
        <v>4.0736670000000004</v>
      </c>
      <c r="I81" s="4">
        <f t="shared" si="11"/>
        <v>1.6332950140499947</v>
      </c>
      <c r="M81" s="20"/>
      <c r="N81" s="23"/>
      <c r="O81" s="4">
        <v>4</v>
      </c>
      <c r="P81" s="10">
        <v>1.633295014</v>
      </c>
    </row>
    <row r="82" spans="5:16" ht="16" thickBot="1" x14ac:dyDescent="0.4">
      <c r="E82" s="20"/>
      <c r="F82" s="23"/>
      <c r="G82" s="4">
        <v>8</v>
      </c>
      <c r="H82" s="4">
        <v>1.8332440000000001</v>
      </c>
      <c r="I82" s="4">
        <f t="shared" si="11"/>
        <v>3.6293586669314069</v>
      </c>
      <c r="M82" s="20"/>
      <c r="N82" s="23"/>
      <c r="O82" s="4">
        <v>8</v>
      </c>
      <c r="P82" s="10">
        <v>3.629358667</v>
      </c>
    </row>
    <row r="83" spans="5:16" ht="16" thickBot="1" x14ac:dyDescent="0.4">
      <c r="E83" s="20"/>
      <c r="F83" s="23"/>
      <c r="G83" s="4">
        <v>16</v>
      </c>
      <c r="H83" s="4">
        <v>0.79454199999999997</v>
      </c>
      <c r="I83" s="4">
        <f t="shared" si="11"/>
        <v>8.374006660440859</v>
      </c>
      <c r="M83" s="20"/>
      <c r="N83" s="23"/>
      <c r="O83" s="4">
        <v>16</v>
      </c>
      <c r="P83" s="10">
        <v>8.3740066599999992</v>
      </c>
    </row>
    <row r="84" spans="5:16" ht="16" thickBot="1" x14ac:dyDescent="0.4">
      <c r="E84" s="20"/>
      <c r="F84" s="23"/>
      <c r="G84" s="4">
        <v>32</v>
      </c>
      <c r="H84" s="4">
        <v>0.435554</v>
      </c>
      <c r="I84" s="4">
        <f t="shared" si="11"/>
        <v>15.275947414097908</v>
      </c>
      <c r="M84" s="20"/>
      <c r="N84" s="23"/>
      <c r="O84" s="4">
        <v>32</v>
      </c>
      <c r="P84" s="10">
        <v>15.275947410000001</v>
      </c>
    </row>
    <row r="85" spans="5:16" ht="16" thickBot="1" x14ac:dyDescent="0.4">
      <c r="E85" s="20"/>
      <c r="F85" s="24"/>
      <c r="G85" s="4">
        <v>64</v>
      </c>
      <c r="H85" s="4">
        <v>0.356012</v>
      </c>
      <c r="I85" s="4">
        <f t="shared" si="11"/>
        <v>18.688976776063729</v>
      </c>
      <c r="M85" s="20"/>
      <c r="N85" s="24"/>
      <c r="O85" s="4">
        <v>64</v>
      </c>
      <c r="P85" s="10">
        <v>18.688976780000001</v>
      </c>
    </row>
    <row r="86" spans="5:16" ht="16" thickBot="1" x14ac:dyDescent="0.4">
      <c r="E86" s="20"/>
      <c r="F86" s="22">
        <v>6</v>
      </c>
      <c r="G86" s="4">
        <v>1</v>
      </c>
      <c r="H86" s="4">
        <v>13.074254</v>
      </c>
      <c r="I86" s="4">
        <f>$C$14/H86</f>
        <v>1.0000506338640813</v>
      </c>
      <c r="M86" s="20"/>
      <c r="N86" s="22">
        <v>6</v>
      </c>
      <c r="O86" s="4">
        <v>1</v>
      </c>
      <c r="P86" s="10">
        <v>1.0000506339999999</v>
      </c>
    </row>
    <row r="87" spans="5:16" ht="16" thickBot="1" x14ac:dyDescent="0.4">
      <c r="E87" s="20"/>
      <c r="F87" s="23"/>
      <c r="G87" s="4">
        <v>2</v>
      </c>
      <c r="H87" s="4">
        <v>9.1608409999999996</v>
      </c>
      <c r="I87" s="4">
        <f t="shared" ref="I87:I92" si="12">$C$14/H87</f>
        <v>1.4272615363589436</v>
      </c>
      <c r="M87" s="20"/>
      <c r="N87" s="23"/>
      <c r="O87" s="4">
        <v>2</v>
      </c>
      <c r="P87" s="10">
        <v>1.4272615360000001</v>
      </c>
    </row>
    <row r="88" spans="5:16" ht="16" thickBot="1" x14ac:dyDescent="0.4">
      <c r="E88" s="20"/>
      <c r="F88" s="23"/>
      <c r="G88" s="4">
        <v>4</v>
      </c>
      <c r="H88" s="4">
        <v>6.0066850000000001</v>
      </c>
      <c r="I88" s="4">
        <f t="shared" si="12"/>
        <v>2.1767274295222738</v>
      </c>
      <c r="M88" s="20"/>
      <c r="N88" s="23"/>
      <c r="O88" s="4">
        <v>4</v>
      </c>
      <c r="P88" s="10">
        <v>2.1767274300000001</v>
      </c>
    </row>
    <row r="89" spans="5:16" ht="16" thickBot="1" x14ac:dyDescent="0.4">
      <c r="E89" s="20"/>
      <c r="F89" s="23"/>
      <c r="G89" s="4">
        <v>8</v>
      </c>
      <c r="H89" s="4">
        <v>2.8606790000000002</v>
      </c>
      <c r="I89" s="4">
        <f t="shared" si="12"/>
        <v>4.5705638416613672</v>
      </c>
      <c r="M89" s="20"/>
      <c r="N89" s="23"/>
      <c r="O89" s="4">
        <v>8</v>
      </c>
      <c r="P89" s="10">
        <v>4.5705638420000003</v>
      </c>
    </row>
    <row r="90" spans="5:16" ht="16" thickBot="1" x14ac:dyDescent="0.4">
      <c r="E90" s="20"/>
      <c r="F90" s="23"/>
      <c r="G90" s="4">
        <v>16</v>
      </c>
      <c r="H90" s="4">
        <v>1.58361</v>
      </c>
      <c r="I90" s="4">
        <f t="shared" si="12"/>
        <v>8.2563989871243546</v>
      </c>
      <c r="M90" s="20"/>
      <c r="N90" s="23"/>
      <c r="O90" s="4">
        <v>16</v>
      </c>
      <c r="P90" s="10">
        <v>8.2563989870000007</v>
      </c>
    </row>
    <row r="91" spans="5:16" ht="16" thickBot="1" x14ac:dyDescent="0.4">
      <c r="E91" s="20"/>
      <c r="F91" s="23"/>
      <c r="G91" s="4">
        <v>32</v>
      </c>
      <c r="H91" s="4">
        <v>0.96343199999999996</v>
      </c>
      <c r="I91" s="4">
        <f t="shared" si="12"/>
        <v>13.57118717252489</v>
      </c>
      <c r="M91" s="20"/>
      <c r="N91" s="23"/>
      <c r="O91" s="4">
        <v>32</v>
      </c>
      <c r="P91" s="10">
        <v>13.57118717</v>
      </c>
    </row>
    <row r="92" spans="5:16" ht="16" thickBot="1" x14ac:dyDescent="0.4">
      <c r="E92" s="20"/>
      <c r="F92" s="24"/>
      <c r="G92" s="4">
        <v>64</v>
      </c>
      <c r="H92" s="4">
        <v>0.60794800000000004</v>
      </c>
      <c r="I92" s="4">
        <f t="shared" si="12"/>
        <v>21.506635435925439</v>
      </c>
      <c r="M92" s="20"/>
      <c r="N92" s="24"/>
      <c r="O92" s="4">
        <v>64</v>
      </c>
      <c r="P92" s="10">
        <v>21.50663544</v>
      </c>
    </row>
    <row r="93" spans="5:16" ht="16" thickBot="1" x14ac:dyDescent="0.4">
      <c r="E93" s="20"/>
      <c r="F93" s="22">
        <v>8</v>
      </c>
      <c r="G93" s="4">
        <v>1</v>
      </c>
      <c r="H93" s="4">
        <v>18.493499</v>
      </c>
      <c r="I93" s="4">
        <f>$C$15/H93</f>
        <v>0.99600524487010278</v>
      </c>
      <c r="M93" s="20"/>
      <c r="N93" s="22">
        <v>8</v>
      </c>
      <c r="O93" s="4">
        <v>1</v>
      </c>
      <c r="P93" s="10">
        <v>0.99600524499999998</v>
      </c>
    </row>
    <row r="94" spans="5:16" ht="16" thickBot="1" x14ac:dyDescent="0.4">
      <c r="E94" s="20"/>
      <c r="F94" s="23"/>
      <c r="G94" s="4">
        <v>2</v>
      </c>
      <c r="H94" s="4">
        <v>13.189330999999999</v>
      </c>
      <c r="I94" s="4">
        <f t="shared" ref="I94:I99" si="13">$C$15/H94</f>
        <v>1.3965546849950161</v>
      </c>
      <c r="M94" s="20"/>
      <c r="N94" s="23"/>
      <c r="O94" s="4">
        <v>2</v>
      </c>
      <c r="P94" s="10">
        <v>1.3965546849999999</v>
      </c>
    </row>
    <row r="95" spans="5:16" ht="16" thickBot="1" x14ac:dyDescent="0.4">
      <c r="E95" s="20"/>
      <c r="F95" s="23"/>
      <c r="G95" s="4">
        <v>4</v>
      </c>
      <c r="H95" s="4">
        <v>7.5187179999999998</v>
      </c>
      <c r="I95" s="4">
        <f t="shared" si="13"/>
        <v>2.4498354639713846</v>
      </c>
      <c r="M95" s="20"/>
      <c r="N95" s="23"/>
      <c r="O95" s="4">
        <v>4</v>
      </c>
      <c r="P95" s="10">
        <v>2.449835464</v>
      </c>
    </row>
    <row r="96" spans="5:16" ht="16" thickBot="1" x14ac:dyDescent="0.4">
      <c r="E96" s="20"/>
      <c r="F96" s="23"/>
      <c r="G96" s="4">
        <v>8</v>
      </c>
      <c r="H96" s="4">
        <v>3.379216</v>
      </c>
      <c r="I96" s="4">
        <f t="shared" si="13"/>
        <v>5.4508566484060212</v>
      </c>
      <c r="M96" s="20"/>
      <c r="N96" s="23"/>
      <c r="O96" s="4">
        <v>8</v>
      </c>
      <c r="P96" s="10">
        <v>5.4508566480000002</v>
      </c>
    </row>
    <row r="97" spans="5:16" ht="16" thickBot="1" x14ac:dyDescent="0.4">
      <c r="E97" s="20"/>
      <c r="F97" s="23"/>
      <c r="G97" s="4">
        <v>16</v>
      </c>
      <c r="H97" s="4">
        <v>1.847086</v>
      </c>
      <c r="I97" s="4">
        <f t="shared" si="13"/>
        <v>9.9722600896763876</v>
      </c>
      <c r="M97" s="20"/>
      <c r="N97" s="23"/>
      <c r="O97" s="4">
        <v>16</v>
      </c>
      <c r="P97" s="10">
        <v>9.9722600900000007</v>
      </c>
    </row>
    <row r="98" spans="5:16" ht="16" thickBot="1" x14ac:dyDescent="0.4">
      <c r="E98" s="20"/>
      <c r="F98" s="23"/>
      <c r="G98" s="4">
        <v>32</v>
      </c>
      <c r="H98" s="4">
        <v>1.0652349999999999</v>
      </c>
      <c r="I98" s="4">
        <f t="shared" si="13"/>
        <v>17.291604200012205</v>
      </c>
      <c r="M98" s="20"/>
      <c r="N98" s="23"/>
      <c r="O98" s="4">
        <v>32</v>
      </c>
      <c r="P98" s="10">
        <v>17.291604199999998</v>
      </c>
    </row>
    <row r="99" spans="5:16" ht="16" thickBot="1" x14ac:dyDescent="0.4">
      <c r="E99" s="20"/>
      <c r="F99" s="24"/>
      <c r="G99" s="4">
        <v>64</v>
      </c>
      <c r="H99" s="4">
        <v>0.73305399999999998</v>
      </c>
      <c r="I99" s="4">
        <f t="shared" si="13"/>
        <v>25.127237556851203</v>
      </c>
      <c r="M99" s="20"/>
      <c r="N99" s="24"/>
      <c r="O99" s="4">
        <v>64</v>
      </c>
      <c r="P99" s="10">
        <v>25.127237560000001</v>
      </c>
    </row>
    <row r="100" spans="5:16" ht="16" thickBot="1" x14ac:dyDescent="0.4">
      <c r="E100" s="20"/>
      <c r="F100" s="22">
        <v>16</v>
      </c>
      <c r="G100" s="4">
        <v>1</v>
      </c>
      <c r="H100" s="4">
        <v>45.277451999999997</v>
      </c>
      <c r="I100" s="4">
        <f>$C$16/H100</f>
        <v>1.0040362253600315</v>
      </c>
      <c r="M100" s="20"/>
      <c r="N100" s="22">
        <v>16</v>
      </c>
      <c r="O100" s="4">
        <v>1</v>
      </c>
      <c r="P100" s="10">
        <v>1.0040362249999999</v>
      </c>
    </row>
    <row r="101" spans="5:16" ht="16" thickBot="1" x14ac:dyDescent="0.4">
      <c r="E101" s="20"/>
      <c r="F101" s="23"/>
      <c r="G101" s="4">
        <v>2</v>
      </c>
      <c r="H101" s="4">
        <v>25.357317999999999</v>
      </c>
      <c r="I101" s="4">
        <f t="shared" ref="I101:I106" si="14">$C$16/H101</f>
        <v>1.7927843157545291</v>
      </c>
      <c r="M101" s="20"/>
      <c r="N101" s="23"/>
      <c r="O101" s="4">
        <v>2</v>
      </c>
      <c r="P101" s="10">
        <v>1.7927843160000001</v>
      </c>
    </row>
    <row r="102" spans="5:16" ht="16" thickBot="1" x14ac:dyDescent="0.4">
      <c r="E102" s="20"/>
      <c r="F102" s="23"/>
      <c r="G102" s="4">
        <v>4</v>
      </c>
      <c r="H102" s="4">
        <v>12.268859000000001</v>
      </c>
      <c r="I102" s="4">
        <f t="shared" si="14"/>
        <v>3.7053325007647411</v>
      </c>
      <c r="M102" s="20"/>
      <c r="N102" s="23"/>
      <c r="O102" s="4">
        <v>4</v>
      </c>
      <c r="P102" s="10">
        <v>3.705332501</v>
      </c>
    </row>
    <row r="103" spans="5:16" ht="16" thickBot="1" x14ac:dyDescent="0.4">
      <c r="E103" s="20"/>
      <c r="F103" s="23"/>
      <c r="G103" s="4">
        <v>8</v>
      </c>
      <c r="H103" s="4">
        <v>6.4296160000000002</v>
      </c>
      <c r="I103" s="4">
        <f t="shared" si="14"/>
        <v>7.0704381101453029</v>
      </c>
      <c r="M103" s="20"/>
      <c r="N103" s="23"/>
      <c r="O103" s="4">
        <v>8</v>
      </c>
      <c r="P103" s="10">
        <v>7.0704381100000004</v>
      </c>
    </row>
    <row r="104" spans="5:16" ht="16" thickBot="1" x14ac:dyDescent="0.4">
      <c r="E104" s="20"/>
      <c r="F104" s="23"/>
      <c r="G104" s="4">
        <v>16</v>
      </c>
      <c r="H104" s="4">
        <v>3.3137180000000002</v>
      </c>
      <c r="I104" s="4">
        <f t="shared" si="14"/>
        <v>13.718790192768365</v>
      </c>
      <c r="M104" s="20"/>
      <c r="N104" s="23"/>
      <c r="O104" s="4">
        <v>16</v>
      </c>
      <c r="P104" s="10">
        <v>13.71879019</v>
      </c>
    </row>
    <row r="105" spans="5:16" ht="16" thickBot="1" x14ac:dyDescent="0.4">
      <c r="E105" s="20"/>
      <c r="F105" s="23"/>
      <c r="G105" s="4">
        <v>32</v>
      </c>
      <c r="H105" s="4">
        <v>1.636177</v>
      </c>
      <c r="I105" s="4">
        <f t="shared" si="14"/>
        <v>27.784403521134941</v>
      </c>
      <c r="M105" s="20"/>
      <c r="N105" s="23"/>
      <c r="O105" s="4">
        <v>32</v>
      </c>
      <c r="P105" s="10">
        <v>27.784403520000001</v>
      </c>
    </row>
    <row r="106" spans="5:16" ht="16" thickBot="1" x14ac:dyDescent="0.4">
      <c r="E106" s="21"/>
      <c r="F106" s="24"/>
      <c r="G106" s="4">
        <v>64</v>
      </c>
      <c r="H106" s="4">
        <v>1.5247200000000001</v>
      </c>
      <c r="I106" s="4">
        <f t="shared" si="14"/>
        <v>29.815442835405847</v>
      </c>
      <c r="M106" s="21"/>
      <c r="N106" s="24"/>
      <c r="O106" s="4">
        <v>64</v>
      </c>
      <c r="P106" s="10">
        <v>29.815442839999999</v>
      </c>
    </row>
  </sheetData>
  <mergeCells count="39">
    <mergeCell ref="M72:M106"/>
    <mergeCell ref="N72:N78"/>
    <mergeCell ref="N79:N85"/>
    <mergeCell ref="N86:N92"/>
    <mergeCell ref="N93:N99"/>
    <mergeCell ref="N100:N106"/>
    <mergeCell ref="M37:M71"/>
    <mergeCell ref="N37:N43"/>
    <mergeCell ref="N44:N50"/>
    <mergeCell ref="N51:N57"/>
    <mergeCell ref="N58:N64"/>
    <mergeCell ref="N65:N71"/>
    <mergeCell ref="N2:N8"/>
    <mergeCell ref="N9:N15"/>
    <mergeCell ref="N16:N22"/>
    <mergeCell ref="N23:N29"/>
    <mergeCell ref="N30:N36"/>
    <mergeCell ref="A2:A6"/>
    <mergeCell ref="A7:A11"/>
    <mergeCell ref="A12:A15"/>
    <mergeCell ref="E2:E36"/>
    <mergeCell ref="M2:M36"/>
    <mergeCell ref="E72:E106"/>
    <mergeCell ref="F72:F78"/>
    <mergeCell ref="F79:F85"/>
    <mergeCell ref="F86:F92"/>
    <mergeCell ref="F65:F71"/>
    <mergeCell ref="E37:E71"/>
    <mergeCell ref="F37:F43"/>
    <mergeCell ref="F44:F50"/>
    <mergeCell ref="F51:F57"/>
    <mergeCell ref="F58:F64"/>
    <mergeCell ref="F93:F99"/>
    <mergeCell ref="F100:F106"/>
    <mergeCell ref="F2:F8"/>
    <mergeCell ref="F9:F15"/>
    <mergeCell ref="F16:F22"/>
    <mergeCell ref="F23:F29"/>
    <mergeCell ref="F30:F3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49533-8220-42BE-91DB-46EDB0E1F56E}">
  <dimension ref="A1:W141"/>
  <sheetViews>
    <sheetView tabSelected="1" topLeftCell="U1" zoomScale="66" workbookViewId="0">
      <selection activeCell="AI8" sqref="AI8"/>
    </sheetView>
  </sheetViews>
  <sheetFormatPr defaultRowHeight="14.5" x14ac:dyDescent="0.35"/>
  <cols>
    <col min="1" max="1" width="14.54296875" customWidth="1"/>
    <col min="2" max="2" width="16" customWidth="1"/>
    <col min="3" max="3" width="23.7265625" customWidth="1"/>
    <col min="6" max="6" width="11.54296875" customWidth="1"/>
    <col min="7" max="7" width="16.7265625" customWidth="1"/>
    <col min="8" max="8" width="12.1796875" customWidth="1"/>
    <col min="9" max="9" width="20.7265625" customWidth="1"/>
    <col min="10" max="10" width="16.54296875" customWidth="1"/>
    <col min="13" max="14" width="13.26953125" customWidth="1"/>
    <col min="15" max="15" width="12.26953125" customWidth="1"/>
    <col min="16" max="16" width="16.26953125" customWidth="1"/>
    <col min="19" max="19" width="11.453125" customWidth="1"/>
    <col min="20" max="20" width="12.7265625" customWidth="1"/>
    <col min="21" max="21" width="13.453125" customWidth="1"/>
    <col min="22" max="22" width="11.453125" customWidth="1"/>
    <col min="23" max="23" width="14.81640625" customWidth="1"/>
  </cols>
  <sheetData>
    <row r="1" spans="1:23" ht="31" customHeight="1" thickBot="1" x14ac:dyDescent="0.4">
      <c r="A1" s="12" t="s">
        <v>8</v>
      </c>
      <c r="B1" s="6" t="s">
        <v>9</v>
      </c>
      <c r="C1" s="6" t="s">
        <v>10</v>
      </c>
      <c r="F1" s="1" t="s">
        <v>8</v>
      </c>
      <c r="G1" s="6" t="s">
        <v>9</v>
      </c>
      <c r="H1" s="2" t="s">
        <v>6</v>
      </c>
      <c r="I1" s="2" t="s">
        <v>2</v>
      </c>
      <c r="J1" s="2" t="s">
        <v>7</v>
      </c>
      <c r="M1" s="1" t="s">
        <v>8</v>
      </c>
      <c r="N1" s="6" t="s">
        <v>9</v>
      </c>
      <c r="O1" s="2" t="s">
        <v>6</v>
      </c>
      <c r="P1" s="2" t="s">
        <v>7</v>
      </c>
      <c r="S1" s="58" t="s">
        <v>6</v>
      </c>
      <c r="T1" s="58" t="s">
        <v>20</v>
      </c>
      <c r="U1" s="58" t="s">
        <v>21</v>
      </c>
      <c r="V1" s="58" t="s">
        <v>22</v>
      </c>
      <c r="W1" s="58" t="s">
        <v>23</v>
      </c>
    </row>
    <row r="2" spans="1:23" ht="16" thickBot="1" x14ac:dyDescent="0.4">
      <c r="A2" s="40">
        <v>18</v>
      </c>
      <c r="B2" s="13">
        <v>4</v>
      </c>
      <c r="C2" s="13">
        <v>1507</v>
      </c>
      <c r="F2" s="31">
        <v>18</v>
      </c>
      <c r="G2" s="31">
        <v>4</v>
      </c>
      <c r="H2" s="3">
        <v>1</v>
      </c>
      <c r="I2" s="3">
        <v>14840</v>
      </c>
      <c r="J2" s="3">
        <f>$C$2/I2</f>
        <v>0.10154986522911051</v>
      </c>
      <c r="M2" s="31">
        <v>18</v>
      </c>
      <c r="N2" s="31">
        <v>4</v>
      </c>
      <c r="O2" s="3">
        <v>1</v>
      </c>
      <c r="P2" s="57">
        <v>0.101549865</v>
      </c>
      <c r="S2" s="59">
        <v>1</v>
      </c>
      <c r="T2" s="59">
        <v>0.101549865</v>
      </c>
      <c r="U2" s="59">
        <v>0.16925802600000001</v>
      </c>
      <c r="V2" s="59">
        <v>0.22549428999999999</v>
      </c>
      <c r="W2" s="59">
        <v>0.24535705899999999</v>
      </c>
    </row>
    <row r="3" spans="1:23" ht="16" thickBot="1" x14ac:dyDescent="0.4">
      <c r="A3" s="41"/>
      <c r="B3" s="13">
        <v>16</v>
      </c>
      <c r="C3" s="13">
        <v>5541</v>
      </c>
      <c r="F3" s="32"/>
      <c r="G3" s="32"/>
      <c r="H3" s="3">
        <v>2</v>
      </c>
      <c r="I3" s="3">
        <v>50707</v>
      </c>
      <c r="J3" s="3">
        <f t="shared" ref="J3:J8" si="0">$C$2/I3</f>
        <v>2.9719762557437829E-2</v>
      </c>
      <c r="M3" s="32"/>
      <c r="N3" s="32"/>
      <c r="O3" s="3">
        <v>2</v>
      </c>
      <c r="P3" s="8">
        <v>2.9719763E-2</v>
      </c>
      <c r="S3" s="59">
        <v>2</v>
      </c>
      <c r="T3" s="59">
        <v>2.9719763E-2</v>
      </c>
      <c r="U3" s="59">
        <v>5.5410000000000001E-2</v>
      </c>
      <c r="V3" s="59">
        <v>6.5543775999999998E-2</v>
      </c>
      <c r="W3" s="59">
        <v>6.9691924000000002E-2</v>
      </c>
    </row>
    <row r="4" spans="1:23" ht="16" thickBot="1" x14ac:dyDescent="0.4">
      <c r="A4" s="41"/>
      <c r="B4" s="13">
        <v>64</v>
      </c>
      <c r="C4" s="13">
        <v>21601</v>
      </c>
      <c r="F4" s="32"/>
      <c r="G4" s="32"/>
      <c r="H4" s="3">
        <v>4</v>
      </c>
      <c r="I4" s="3">
        <v>82213</v>
      </c>
      <c r="J4" s="3">
        <f t="shared" si="0"/>
        <v>1.8330434359529513E-2</v>
      </c>
      <c r="M4" s="32"/>
      <c r="N4" s="32"/>
      <c r="O4" s="3">
        <v>4</v>
      </c>
      <c r="P4" s="8">
        <v>1.8330434E-2</v>
      </c>
      <c r="S4" s="59">
        <v>4</v>
      </c>
      <c r="T4" s="59">
        <v>1.8330434E-2</v>
      </c>
      <c r="U4" s="59">
        <v>3.8733084000000001E-2</v>
      </c>
      <c r="V4" s="59">
        <v>5.1639971E-2</v>
      </c>
      <c r="W4" s="59">
        <v>5.6726018000000003E-2</v>
      </c>
    </row>
    <row r="5" spans="1:23" ht="16" thickBot="1" x14ac:dyDescent="0.4">
      <c r="A5" s="42"/>
      <c r="B5" s="13">
        <v>256</v>
      </c>
      <c r="C5" s="13">
        <v>85847</v>
      </c>
      <c r="F5" s="32"/>
      <c r="G5" s="32"/>
      <c r="H5" s="3">
        <v>8</v>
      </c>
      <c r="I5" s="3">
        <v>136417</v>
      </c>
      <c r="J5" s="3">
        <f t="shared" si="0"/>
        <v>1.1047010269981014E-2</v>
      </c>
      <c r="M5" s="32"/>
      <c r="N5" s="32"/>
      <c r="O5" s="3">
        <v>8</v>
      </c>
      <c r="P5" s="8">
        <v>1.1047009999999999E-2</v>
      </c>
      <c r="S5" s="59">
        <v>8</v>
      </c>
      <c r="T5" s="59">
        <v>1.1047009999999999E-2</v>
      </c>
      <c r="U5" s="59">
        <v>2.6456012000000001E-2</v>
      </c>
      <c r="V5" s="59">
        <v>4.2751569000000003E-2</v>
      </c>
      <c r="W5" s="59">
        <v>5.1049996E-2</v>
      </c>
    </row>
    <row r="6" spans="1:23" ht="16" thickBot="1" x14ac:dyDescent="0.4">
      <c r="A6" s="43">
        <v>66</v>
      </c>
      <c r="B6" s="14">
        <v>4</v>
      </c>
      <c r="C6" s="14">
        <v>20216</v>
      </c>
      <c r="F6" s="32"/>
      <c r="G6" s="32"/>
      <c r="H6" s="3">
        <v>16</v>
      </c>
      <c r="I6" s="3">
        <v>268644</v>
      </c>
      <c r="J6" s="3">
        <f t="shared" si="0"/>
        <v>5.6096544125310817E-3</v>
      </c>
      <c r="M6" s="32"/>
      <c r="N6" s="32"/>
      <c r="O6" s="3">
        <v>16</v>
      </c>
      <c r="P6" s="8">
        <v>5.6096540000000004E-3</v>
      </c>
      <c r="S6" s="59">
        <v>16</v>
      </c>
      <c r="T6" s="59">
        <v>5.6096540000000004E-3</v>
      </c>
      <c r="U6" s="59">
        <v>1.6377017000000001E-2</v>
      </c>
      <c r="V6" s="59">
        <v>2.9748239999999999E-2</v>
      </c>
      <c r="W6" s="59">
        <v>3.7997889999999999E-2</v>
      </c>
    </row>
    <row r="7" spans="1:23" ht="16" thickBot="1" x14ac:dyDescent="0.4">
      <c r="A7" s="44"/>
      <c r="B7" s="14">
        <v>16</v>
      </c>
      <c r="C7" s="14">
        <v>80533</v>
      </c>
      <c r="F7" s="32"/>
      <c r="G7" s="32"/>
      <c r="H7" s="3">
        <v>32</v>
      </c>
      <c r="I7" s="3">
        <v>12323781</v>
      </c>
      <c r="J7" s="3">
        <f t="shared" si="0"/>
        <v>1.2228389972200902E-4</v>
      </c>
      <c r="M7" s="32"/>
      <c r="N7" s="32"/>
      <c r="O7" s="3">
        <v>32</v>
      </c>
      <c r="P7" s="8">
        <v>1.2228400000000001E-4</v>
      </c>
      <c r="S7" s="59">
        <v>32</v>
      </c>
      <c r="T7" s="59">
        <v>1.2228400000000001E-4</v>
      </c>
      <c r="U7" s="59">
        <v>3.7454399999999998E-4</v>
      </c>
      <c r="V7" s="59">
        <v>7.7265400000000001E-4</v>
      </c>
      <c r="W7" s="59">
        <v>2.9828379999999998E-3</v>
      </c>
    </row>
    <row r="8" spans="1:23" ht="16" thickBot="1" x14ac:dyDescent="0.4">
      <c r="A8" s="44"/>
      <c r="B8" s="14">
        <v>64</v>
      </c>
      <c r="C8" s="14">
        <v>321802</v>
      </c>
      <c r="F8" s="32"/>
      <c r="G8" s="33"/>
      <c r="H8" s="3">
        <v>64</v>
      </c>
      <c r="I8" s="3">
        <v>1631135</v>
      </c>
      <c r="J8" s="3">
        <f t="shared" si="0"/>
        <v>9.2389655056141894E-4</v>
      </c>
      <c r="M8" s="32"/>
      <c r="N8" s="33"/>
      <c r="O8" s="3">
        <v>64</v>
      </c>
      <c r="P8" s="8">
        <v>9.2389700000000002E-4</v>
      </c>
      <c r="S8" s="59">
        <v>64</v>
      </c>
      <c r="T8" s="59">
        <v>9.2389700000000002E-4</v>
      </c>
      <c r="U8" s="59">
        <v>1.3667219999999999E-3</v>
      </c>
      <c r="V8" s="59">
        <v>1.632779E-3</v>
      </c>
      <c r="W8" s="59">
        <v>1.711244E-3</v>
      </c>
    </row>
    <row r="9" spans="1:23" ht="16" thickBot="1" x14ac:dyDescent="0.4">
      <c r="A9" s="45"/>
      <c r="B9" s="14">
        <v>256</v>
      </c>
      <c r="C9" s="14">
        <v>1292369</v>
      </c>
      <c r="F9" s="32"/>
      <c r="G9" s="31">
        <v>16</v>
      </c>
      <c r="H9" s="3">
        <v>1</v>
      </c>
      <c r="I9" s="3">
        <v>32737</v>
      </c>
      <c r="J9" s="3">
        <f>$C$3/I9</f>
        <v>0.16925802608669091</v>
      </c>
      <c r="M9" s="32"/>
      <c r="N9" s="31">
        <v>16</v>
      </c>
      <c r="O9" s="3">
        <v>1</v>
      </c>
      <c r="P9" s="8">
        <v>0.16925802600000001</v>
      </c>
    </row>
    <row r="10" spans="1:23" ht="16" thickBot="1" x14ac:dyDescent="0.4">
      <c r="A10" s="46">
        <v>258</v>
      </c>
      <c r="B10" s="15">
        <v>4</v>
      </c>
      <c r="C10" s="15">
        <v>317393</v>
      </c>
      <c r="F10" s="32"/>
      <c r="G10" s="32"/>
      <c r="H10" s="3">
        <v>2</v>
      </c>
      <c r="I10" s="3">
        <v>100000</v>
      </c>
      <c r="J10" s="3">
        <f t="shared" ref="J10:J15" si="1">$C$3/I10</f>
        <v>5.5410000000000001E-2</v>
      </c>
      <c r="M10" s="32"/>
      <c r="N10" s="32"/>
      <c r="O10" s="3">
        <v>2</v>
      </c>
      <c r="P10" s="8">
        <v>5.5410000000000001E-2</v>
      </c>
    </row>
    <row r="11" spans="1:23" ht="16" thickBot="1" x14ac:dyDescent="0.4">
      <c r="A11" s="47"/>
      <c r="B11" s="15">
        <v>16</v>
      </c>
      <c r="C11" s="15">
        <v>1268193</v>
      </c>
      <c r="F11" s="32"/>
      <c r="G11" s="32"/>
      <c r="H11" s="3">
        <v>4</v>
      </c>
      <c r="I11" s="3">
        <v>143056</v>
      </c>
      <c r="J11" s="3">
        <f t="shared" si="1"/>
        <v>3.8733083547701601E-2</v>
      </c>
      <c r="M11" s="32"/>
      <c r="N11" s="32"/>
      <c r="O11" s="3">
        <v>4</v>
      </c>
      <c r="P11" s="8">
        <v>3.8733084000000001E-2</v>
      </c>
    </row>
    <row r="12" spans="1:23" ht="16" thickBot="1" x14ac:dyDescent="0.4">
      <c r="A12" s="47"/>
      <c r="B12" s="15">
        <v>64</v>
      </c>
      <c r="C12" s="15">
        <v>5075213</v>
      </c>
      <c r="F12" s="32"/>
      <c r="G12" s="32"/>
      <c r="H12" s="3">
        <v>8</v>
      </c>
      <c r="I12" s="3">
        <v>209442</v>
      </c>
      <c r="J12" s="3">
        <f t="shared" si="1"/>
        <v>2.6456011688200075E-2</v>
      </c>
      <c r="M12" s="32"/>
      <c r="N12" s="32"/>
      <c r="O12" s="3">
        <v>8</v>
      </c>
      <c r="P12" s="8">
        <v>2.6456012000000001E-2</v>
      </c>
    </row>
    <row r="13" spans="1:23" ht="16" thickBot="1" x14ac:dyDescent="0.4">
      <c r="A13" s="48"/>
      <c r="B13" s="15">
        <v>256</v>
      </c>
      <c r="C13" s="15">
        <v>20367930</v>
      </c>
      <c r="F13" s="32"/>
      <c r="G13" s="32"/>
      <c r="H13" s="3">
        <v>16</v>
      </c>
      <c r="I13" s="3">
        <v>338340</v>
      </c>
      <c r="J13" s="3">
        <f t="shared" si="1"/>
        <v>1.6377017201631493E-2</v>
      </c>
      <c r="M13" s="32"/>
      <c r="N13" s="32"/>
      <c r="O13" s="3">
        <v>16</v>
      </c>
      <c r="P13" s="8">
        <v>1.6377017000000001E-2</v>
      </c>
    </row>
    <row r="14" spans="1:23" ht="16" thickBot="1" x14ac:dyDescent="0.4">
      <c r="A14" s="49">
        <v>1026</v>
      </c>
      <c r="B14" s="16">
        <v>4</v>
      </c>
      <c r="C14" s="16">
        <v>5522250</v>
      </c>
      <c r="F14" s="32"/>
      <c r="G14" s="32"/>
      <c r="H14" s="3">
        <v>32</v>
      </c>
      <c r="I14" s="3">
        <v>14793996</v>
      </c>
      <c r="J14" s="3">
        <f t="shared" si="1"/>
        <v>3.74543835215313E-4</v>
      </c>
      <c r="M14" s="32"/>
      <c r="N14" s="32"/>
      <c r="O14" s="3">
        <v>32</v>
      </c>
      <c r="P14" s="8">
        <v>3.7454399999999998E-4</v>
      </c>
    </row>
    <row r="15" spans="1:23" ht="16" thickBot="1" x14ac:dyDescent="0.4">
      <c r="A15" s="50"/>
      <c r="B15" s="16">
        <v>16</v>
      </c>
      <c r="C15" s="16">
        <v>21821780</v>
      </c>
      <c r="F15" s="32"/>
      <c r="G15" s="33"/>
      <c r="H15" s="3">
        <v>64</v>
      </c>
      <c r="I15" s="3">
        <v>4054227</v>
      </c>
      <c r="J15" s="3">
        <f t="shared" si="1"/>
        <v>1.3667216956524634E-3</v>
      </c>
      <c r="M15" s="32"/>
      <c r="N15" s="33"/>
      <c r="O15" s="3">
        <v>64</v>
      </c>
      <c r="P15" s="8">
        <v>1.3667219999999999E-3</v>
      </c>
    </row>
    <row r="16" spans="1:23" ht="16" thickBot="1" x14ac:dyDescent="0.4">
      <c r="A16" s="50"/>
      <c r="B16" s="16">
        <v>64</v>
      </c>
      <c r="C16" s="16">
        <v>87630770</v>
      </c>
      <c r="F16" s="32"/>
      <c r="G16" s="31">
        <v>64</v>
      </c>
      <c r="H16" s="3">
        <v>1</v>
      </c>
      <c r="I16" s="3">
        <v>95794</v>
      </c>
      <c r="J16" s="3">
        <f>$C$4/I16</f>
        <v>0.22549428983026076</v>
      </c>
      <c r="M16" s="32"/>
      <c r="N16" s="31">
        <v>64</v>
      </c>
      <c r="O16" s="3">
        <v>1</v>
      </c>
      <c r="P16" s="8">
        <v>0.22549428999999999</v>
      </c>
    </row>
    <row r="17" spans="1:23" ht="16" thickBot="1" x14ac:dyDescent="0.4">
      <c r="A17" s="51"/>
      <c r="B17" s="16">
        <v>256</v>
      </c>
      <c r="C17" s="16">
        <v>351664390</v>
      </c>
      <c r="F17" s="32"/>
      <c r="G17" s="32"/>
      <c r="H17" s="3">
        <v>2</v>
      </c>
      <c r="I17" s="3">
        <v>329566</v>
      </c>
      <c r="J17" s="3">
        <f t="shared" ref="J17:J22" si="2">$C$4/I17</f>
        <v>6.5543775753566819E-2</v>
      </c>
      <c r="M17" s="32"/>
      <c r="N17" s="32"/>
      <c r="O17" s="3">
        <v>2</v>
      </c>
      <c r="P17" s="8">
        <v>6.5543775999999998E-2</v>
      </c>
    </row>
    <row r="18" spans="1:23" ht="16" thickBot="1" x14ac:dyDescent="0.4">
      <c r="A18" s="46">
        <v>4098</v>
      </c>
      <c r="B18" s="15">
        <v>4</v>
      </c>
      <c r="C18" s="15">
        <v>93154781</v>
      </c>
      <c r="F18" s="32"/>
      <c r="G18" s="32"/>
      <c r="H18" s="3">
        <v>4</v>
      </c>
      <c r="I18" s="3">
        <v>418300</v>
      </c>
      <c r="J18" s="3">
        <f t="shared" si="2"/>
        <v>5.1639971312455173E-2</v>
      </c>
      <c r="M18" s="32"/>
      <c r="N18" s="32"/>
      <c r="O18" s="3">
        <v>4</v>
      </c>
      <c r="P18" s="8">
        <v>5.1639971E-2</v>
      </c>
    </row>
    <row r="19" spans="1:23" ht="16" thickBot="1" x14ac:dyDescent="0.4">
      <c r="A19" s="47"/>
      <c r="B19" s="15">
        <v>16</v>
      </c>
      <c r="C19" s="15">
        <v>367420295</v>
      </c>
      <c r="F19" s="32"/>
      <c r="G19" s="32"/>
      <c r="H19" s="3">
        <v>8</v>
      </c>
      <c r="I19" s="3">
        <v>505268</v>
      </c>
      <c r="J19" s="3">
        <f t="shared" si="2"/>
        <v>4.275156946412597E-2</v>
      </c>
      <c r="M19" s="32"/>
      <c r="N19" s="32"/>
      <c r="O19" s="3">
        <v>8</v>
      </c>
      <c r="P19" s="8">
        <v>4.2751569000000003E-2</v>
      </c>
    </row>
    <row r="20" spans="1:23" ht="16" thickBot="1" x14ac:dyDescent="0.4">
      <c r="A20" s="47"/>
      <c r="B20" s="15">
        <v>64</v>
      </c>
      <c r="C20" s="15">
        <v>1474409981</v>
      </c>
      <c r="F20" s="32"/>
      <c r="G20" s="32"/>
      <c r="H20" s="3">
        <v>16</v>
      </c>
      <c r="I20" s="3">
        <v>726127</v>
      </c>
      <c r="J20" s="3">
        <f t="shared" si="2"/>
        <v>2.9748239633011857E-2</v>
      </c>
      <c r="M20" s="32"/>
      <c r="N20" s="32"/>
      <c r="O20" s="3">
        <v>16</v>
      </c>
      <c r="P20" s="8">
        <v>2.9748239999999999E-2</v>
      </c>
    </row>
    <row r="21" spans="1:23" ht="16" thickBot="1" x14ac:dyDescent="0.4">
      <c r="A21" s="48"/>
      <c r="B21" s="15">
        <v>256</v>
      </c>
      <c r="C21" s="15">
        <v>5863692773</v>
      </c>
      <c r="F21" s="32"/>
      <c r="G21" s="32"/>
      <c r="H21" s="3">
        <v>32</v>
      </c>
      <c r="I21" s="3">
        <v>27956890</v>
      </c>
      <c r="J21" s="3">
        <f t="shared" si="2"/>
        <v>7.7265389676748741E-4</v>
      </c>
      <c r="M21" s="32"/>
      <c r="N21" s="32"/>
      <c r="O21" s="3">
        <v>32</v>
      </c>
      <c r="P21" s="8">
        <v>7.7265400000000001E-4</v>
      </c>
    </row>
    <row r="22" spans="1:23" ht="16" thickBot="1" x14ac:dyDescent="0.4">
      <c r="F22" s="32"/>
      <c r="G22" s="33"/>
      <c r="H22" s="3">
        <v>64</v>
      </c>
      <c r="I22" s="3">
        <v>13229590</v>
      </c>
      <c r="J22" s="3">
        <f t="shared" si="2"/>
        <v>1.632779247127084E-3</v>
      </c>
      <c r="M22" s="32"/>
      <c r="N22" s="33"/>
      <c r="O22" s="3">
        <v>64</v>
      </c>
      <c r="P22" s="8">
        <v>1.632779E-3</v>
      </c>
    </row>
    <row r="23" spans="1:23" ht="16" thickBot="1" x14ac:dyDescent="0.4">
      <c r="F23" s="32"/>
      <c r="G23" s="31">
        <v>256</v>
      </c>
      <c r="H23" s="3">
        <v>1</v>
      </c>
      <c r="I23" s="3">
        <v>349886</v>
      </c>
      <c r="J23" s="3">
        <f>$C$5/I23</f>
        <v>0.24535705915641096</v>
      </c>
      <c r="M23" s="32"/>
      <c r="N23" s="31">
        <v>256</v>
      </c>
      <c r="O23" s="3">
        <v>1</v>
      </c>
      <c r="P23" s="8">
        <v>0.24535705899999999</v>
      </c>
    </row>
    <row r="24" spans="1:23" ht="16" thickBot="1" x14ac:dyDescent="0.4">
      <c r="F24" s="32"/>
      <c r="G24" s="32"/>
      <c r="H24" s="3">
        <v>2</v>
      </c>
      <c r="I24" s="3">
        <v>1231807</v>
      </c>
      <c r="J24" s="3">
        <f t="shared" ref="J24:J29" si="3">$C$5/I24</f>
        <v>6.9691924140713596E-2</v>
      </c>
      <c r="M24" s="32"/>
      <c r="N24" s="32"/>
      <c r="O24" s="3">
        <v>2</v>
      </c>
      <c r="P24" s="8">
        <v>6.9691924000000002E-2</v>
      </c>
    </row>
    <row r="25" spans="1:23" ht="16" thickBot="1" x14ac:dyDescent="0.4">
      <c r="F25" s="32"/>
      <c r="G25" s="32"/>
      <c r="H25" s="3">
        <v>4</v>
      </c>
      <c r="I25" s="3">
        <v>1513362</v>
      </c>
      <c r="J25" s="3">
        <f t="shared" si="3"/>
        <v>5.6726017965298456E-2</v>
      </c>
      <c r="M25" s="32"/>
      <c r="N25" s="32"/>
      <c r="O25" s="3">
        <v>4</v>
      </c>
      <c r="P25" s="8">
        <v>5.6726018000000003E-2</v>
      </c>
    </row>
    <row r="26" spans="1:23" ht="16" thickBot="1" x14ac:dyDescent="0.4">
      <c r="F26" s="32"/>
      <c r="G26" s="32"/>
      <c r="H26" s="3">
        <v>8</v>
      </c>
      <c r="I26" s="3">
        <v>1681626</v>
      </c>
      <c r="J26" s="3">
        <f t="shared" si="3"/>
        <v>5.1049995658963405E-2</v>
      </c>
      <c r="M26" s="32"/>
      <c r="N26" s="32"/>
      <c r="O26" s="3">
        <v>8</v>
      </c>
      <c r="P26" s="8">
        <v>5.1049996E-2</v>
      </c>
    </row>
    <row r="27" spans="1:23" ht="16" thickBot="1" x14ac:dyDescent="0.4">
      <c r="F27" s="32"/>
      <c r="G27" s="32"/>
      <c r="H27" s="3">
        <v>16</v>
      </c>
      <c r="I27" s="3">
        <v>2259257</v>
      </c>
      <c r="J27" s="3">
        <f t="shared" si="3"/>
        <v>3.7997890456906852E-2</v>
      </c>
      <c r="M27" s="32"/>
      <c r="N27" s="32"/>
      <c r="O27" s="3">
        <v>16</v>
      </c>
      <c r="P27" s="8">
        <v>3.7997889999999999E-2</v>
      </c>
    </row>
    <row r="28" spans="1:23" ht="16" thickBot="1" x14ac:dyDescent="0.4">
      <c r="F28" s="32"/>
      <c r="G28" s="32"/>
      <c r="H28" s="3">
        <v>32</v>
      </c>
      <c r="I28" s="3">
        <v>28780309</v>
      </c>
      <c r="J28" s="3">
        <f t="shared" si="3"/>
        <v>2.982838023038599E-3</v>
      </c>
      <c r="M28" s="32"/>
      <c r="N28" s="32"/>
      <c r="O28" s="3">
        <v>32</v>
      </c>
      <c r="P28" s="8">
        <v>2.9828379999999998E-3</v>
      </c>
    </row>
    <row r="29" spans="1:23" ht="16" thickBot="1" x14ac:dyDescent="0.4">
      <c r="F29" s="33"/>
      <c r="G29" s="33"/>
      <c r="H29" s="3">
        <v>64</v>
      </c>
      <c r="I29" s="3">
        <v>50166433</v>
      </c>
      <c r="J29" s="3">
        <f t="shared" si="3"/>
        <v>1.711243851042788E-3</v>
      </c>
      <c r="M29" s="33"/>
      <c r="N29" s="33"/>
      <c r="O29" s="3">
        <v>64</v>
      </c>
      <c r="P29" s="8">
        <v>1.711244E-3</v>
      </c>
    </row>
    <row r="30" spans="1:23" ht="16" thickBot="1" x14ac:dyDescent="0.4">
      <c r="F30" s="34">
        <v>66</v>
      </c>
      <c r="G30" s="37">
        <v>4</v>
      </c>
      <c r="H30" s="5">
        <v>1</v>
      </c>
      <c r="I30" s="5">
        <v>35021</v>
      </c>
      <c r="J30" s="5">
        <f>$C$6/I30</f>
        <v>0.57725364781131316</v>
      </c>
      <c r="M30" s="34">
        <v>66</v>
      </c>
      <c r="N30" s="37">
        <v>4</v>
      </c>
      <c r="O30" s="5">
        <v>1</v>
      </c>
      <c r="P30" s="9">
        <v>0.57725364800000001</v>
      </c>
      <c r="S30" s="58" t="s">
        <v>6</v>
      </c>
      <c r="T30" s="58" t="s">
        <v>20</v>
      </c>
      <c r="U30" s="58" t="s">
        <v>21</v>
      </c>
      <c r="V30" s="58" t="s">
        <v>22</v>
      </c>
      <c r="W30" s="58" t="s">
        <v>23</v>
      </c>
    </row>
    <row r="31" spans="1:23" ht="16" thickBot="1" x14ac:dyDescent="0.4">
      <c r="F31" s="35"/>
      <c r="G31" s="38"/>
      <c r="H31" s="5">
        <v>2</v>
      </c>
      <c r="I31" s="5">
        <v>144667</v>
      </c>
      <c r="J31" s="5">
        <f t="shared" ref="J31:J36" si="4">$C$6/I31</f>
        <v>0.13974161349858641</v>
      </c>
      <c r="M31" s="35"/>
      <c r="N31" s="38"/>
      <c r="O31" s="5">
        <v>2</v>
      </c>
      <c r="P31" s="9">
        <v>0.13974161299999999</v>
      </c>
      <c r="S31" s="59">
        <v>1</v>
      </c>
      <c r="T31" s="9">
        <v>0.57725364800000001</v>
      </c>
      <c r="U31" s="9">
        <v>0.63510327</v>
      </c>
      <c r="V31" s="9">
        <v>0.68022600799999999</v>
      </c>
      <c r="W31" s="9">
        <v>0.69975418099999998</v>
      </c>
    </row>
    <row r="32" spans="1:23" ht="16" thickBot="1" x14ac:dyDescent="0.4">
      <c r="F32" s="35"/>
      <c r="G32" s="38"/>
      <c r="H32" s="5">
        <v>4</v>
      </c>
      <c r="I32" s="5">
        <v>154978</v>
      </c>
      <c r="J32" s="5">
        <f t="shared" si="4"/>
        <v>0.13044432112945062</v>
      </c>
      <c r="M32" s="35"/>
      <c r="N32" s="38"/>
      <c r="O32" s="5">
        <v>4</v>
      </c>
      <c r="P32" s="9">
        <v>0.130444321</v>
      </c>
      <c r="S32" s="59">
        <v>2</v>
      </c>
      <c r="T32" s="9">
        <v>0.13974161299999999</v>
      </c>
      <c r="U32" s="9">
        <v>0.15825973800000001</v>
      </c>
      <c r="V32" s="9">
        <v>0.16546119300000001</v>
      </c>
      <c r="W32" s="9">
        <v>0.16317510199999999</v>
      </c>
    </row>
    <row r="33" spans="6:23" ht="16" thickBot="1" x14ac:dyDescent="0.4">
      <c r="F33" s="35"/>
      <c r="G33" s="38"/>
      <c r="H33" s="5">
        <v>8</v>
      </c>
      <c r="I33" s="5">
        <v>194515</v>
      </c>
      <c r="J33" s="5">
        <f t="shared" si="4"/>
        <v>0.10393028815258464</v>
      </c>
      <c r="M33" s="35"/>
      <c r="N33" s="38"/>
      <c r="O33" s="5">
        <v>8</v>
      </c>
      <c r="P33" s="9">
        <v>0.103930288</v>
      </c>
      <c r="S33" s="59">
        <v>4</v>
      </c>
      <c r="T33" s="9">
        <v>0.130444321</v>
      </c>
      <c r="U33" s="9">
        <v>0.17537445099999999</v>
      </c>
      <c r="V33" s="9">
        <v>0.18954058200000001</v>
      </c>
      <c r="W33" s="9">
        <v>0.18815117100000001</v>
      </c>
    </row>
    <row r="34" spans="6:23" ht="16" thickBot="1" x14ac:dyDescent="0.4">
      <c r="F34" s="35"/>
      <c r="G34" s="38"/>
      <c r="H34" s="5">
        <v>16</v>
      </c>
      <c r="I34" s="5">
        <v>314570</v>
      </c>
      <c r="J34" s="5">
        <f t="shared" si="4"/>
        <v>6.4265505292939562E-2</v>
      </c>
      <c r="M34" s="35"/>
      <c r="N34" s="38"/>
      <c r="O34" s="5">
        <v>16</v>
      </c>
      <c r="P34" s="9">
        <v>6.4265505000000001E-2</v>
      </c>
      <c r="S34" s="59">
        <v>8</v>
      </c>
      <c r="T34" s="9">
        <v>0.103930288</v>
      </c>
      <c r="U34" s="9">
        <v>0.174123899</v>
      </c>
      <c r="V34" s="9">
        <v>0.21022175700000001</v>
      </c>
      <c r="W34" s="9">
        <v>0.221330057</v>
      </c>
    </row>
    <row r="35" spans="6:23" ht="16" thickBot="1" x14ac:dyDescent="0.4">
      <c r="F35" s="35"/>
      <c r="G35" s="38"/>
      <c r="H35" s="5">
        <v>32</v>
      </c>
      <c r="I35" s="5">
        <v>21514225</v>
      </c>
      <c r="J35" s="5">
        <f t="shared" si="4"/>
        <v>9.3965736623094715E-4</v>
      </c>
      <c r="M35" s="35"/>
      <c r="N35" s="38"/>
      <c r="O35" s="5">
        <v>32</v>
      </c>
      <c r="P35" s="9">
        <v>9.3965699999999999E-4</v>
      </c>
      <c r="S35" s="59">
        <v>16</v>
      </c>
      <c r="T35" s="9">
        <v>6.4265505000000001E-2</v>
      </c>
      <c r="U35" s="9">
        <v>0.16031891400000001</v>
      </c>
      <c r="V35" s="9">
        <v>0.22372810200000001</v>
      </c>
      <c r="W35" s="9">
        <v>0.25685499699999997</v>
      </c>
    </row>
    <row r="36" spans="6:23" ht="16" thickBot="1" x14ac:dyDescent="0.4">
      <c r="F36" s="35"/>
      <c r="G36" s="39"/>
      <c r="H36" s="5">
        <v>64</v>
      </c>
      <c r="I36" s="5">
        <v>1608344</v>
      </c>
      <c r="J36" s="5">
        <f t="shared" si="4"/>
        <v>1.2569450316598937E-2</v>
      </c>
      <c r="M36" s="35"/>
      <c r="N36" s="39"/>
      <c r="O36" s="5">
        <v>64</v>
      </c>
      <c r="P36" s="9">
        <v>1.2569449999999999E-2</v>
      </c>
      <c r="S36" s="59">
        <v>32</v>
      </c>
      <c r="T36" s="9">
        <v>9.3965699999999999E-4</v>
      </c>
      <c r="U36" s="9">
        <v>1.57004E-3</v>
      </c>
      <c r="V36" s="9">
        <v>2.5285366E-2</v>
      </c>
      <c r="W36" s="9">
        <v>2.0108020000000001E-2</v>
      </c>
    </row>
    <row r="37" spans="6:23" ht="16" thickBot="1" x14ac:dyDescent="0.4">
      <c r="F37" s="35"/>
      <c r="G37" s="37">
        <v>16</v>
      </c>
      <c r="H37" s="5">
        <v>1</v>
      </c>
      <c r="I37" s="5">
        <v>126803</v>
      </c>
      <c r="J37" s="5">
        <f>$C$7/I37</f>
        <v>0.63510327042735581</v>
      </c>
      <c r="M37" s="35"/>
      <c r="N37" s="37">
        <v>16</v>
      </c>
      <c r="O37" s="5">
        <v>1</v>
      </c>
      <c r="P37" s="9">
        <v>0.63510327</v>
      </c>
      <c r="S37" s="59">
        <v>64</v>
      </c>
      <c r="T37" s="9">
        <v>1.2569449999999999E-2</v>
      </c>
      <c r="U37" s="9">
        <v>1.9723514000000001E-2</v>
      </c>
      <c r="V37" s="9">
        <v>2.4189138999999998E-2</v>
      </c>
      <c r="W37" s="9">
        <v>2.5248060999999999E-2</v>
      </c>
    </row>
    <row r="38" spans="6:23" ht="16" thickBot="1" x14ac:dyDescent="0.4">
      <c r="F38" s="35"/>
      <c r="G38" s="38"/>
      <c r="H38" s="5">
        <v>2</v>
      </c>
      <c r="I38" s="5">
        <v>508866</v>
      </c>
      <c r="J38" s="5">
        <f t="shared" ref="J38:J43" si="5">$C$7/I38</f>
        <v>0.15825973832010784</v>
      </c>
      <c r="M38" s="35"/>
      <c r="N38" s="38"/>
      <c r="O38" s="5">
        <v>2</v>
      </c>
      <c r="P38" s="9">
        <v>0.15825973800000001</v>
      </c>
    </row>
    <row r="39" spans="6:23" ht="16" thickBot="1" x14ac:dyDescent="0.4">
      <c r="F39" s="35"/>
      <c r="G39" s="38"/>
      <c r="H39" s="5">
        <v>4</v>
      </c>
      <c r="I39" s="5">
        <v>459206</v>
      </c>
      <c r="J39" s="5">
        <f t="shared" si="5"/>
        <v>0.17537445068226459</v>
      </c>
      <c r="M39" s="35"/>
      <c r="N39" s="38"/>
      <c r="O39" s="5">
        <v>4</v>
      </c>
      <c r="P39" s="9">
        <v>0.17537445099999999</v>
      </c>
    </row>
    <row r="40" spans="6:23" ht="16" thickBot="1" x14ac:dyDescent="0.4">
      <c r="F40" s="35"/>
      <c r="G40" s="38"/>
      <c r="H40" s="5">
        <v>8</v>
      </c>
      <c r="I40" s="5">
        <v>462504</v>
      </c>
      <c r="J40" s="5">
        <f t="shared" si="5"/>
        <v>0.17412389946897758</v>
      </c>
      <c r="M40" s="35"/>
      <c r="N40" s="38"/>
      <c r="O40" s="5">
        <v>8</v>
      </c>
      <c r="P40" s="9">
        <v>0.174123899</v>
      </c>
    </row>
    <row r="41" spans="6:23" ht="16" thickBot="1" x14ac:dyDescent="0.4">
      <c r="F41" s="35"/>
      <c r="G41" s="38"/>
      <c r="H41" s="5">
        <v>16</v>
      </c>
      <c r="I41" s="5">
        <v>502330</v>
      </c>
      <c r="J41" s="5">
        <f t="shared" si="5"/>
        <v>0.16031891386140584</v>
      </c>
      <c r="M41" s="35"/>
      <c r="N41" s="38"/>
      <c r="O41" s="5">
        <v>16</v>
      </c>
      <c r="P41" s="9">
        <v>0.16031891400000001</v>
      </c>
    </row>
    <row r="42" spans="6:23" ht="16" thickBot="1" x14ac:dyDescent="0.4">
      <c r="F42" s="35"/>
      <c r="G42" s="38"/>
      <c r="H42" s="5">
        <v>32</v>
      </c>
      <c r="I42" s="5">
        <v>51293583</v>
      </c>
      <c r="J42" s="5">
        <f t="shared" si="5"/>
        <v>1.570040447359663E-3</v>
      </c>
      <c r="M42" s="35"/>
      <c r="N42" s="38"/>
      <c r="O42" s="5">
        <v>32</v>
      </c>
      <c r="P42" s="9">
        <v>1.57004E-3</v>
      </c>
    </row>
    <row r="43" spans="6:23" ht="16" thickBot="1" x14ac:dyDescent="0.4">
      <c r="F43" s="35"/>
      <c r="G43" s="39"/>
      <c r="H43" s="5">
        <v>64</v>
      </c>
      <c r="I43" s="5">
        <v>4083096</v>
      </c>
      <c r="J43" s="5">
        <f t="shared" si="5"/>
        <v>1.9723513725859006E-2</v>
      </c>
      <c r="M43" s="35"/>
      <c r="N43" s="39"/>
      <c r="O43" s="5">
        <v>64</v>
      </c>
      <c r="P43" s="9">
        <v>1.9723514000000001E-2</v>
      </c>
    </row>
    <row r="44" spans="6:23" ht="16" thickBot="1" x14ac:dyDescent="0.4">
      <c r="F44" s="35"/>
      <c r="G44" s="37">
        <v>64</v>
      </c>
      <c r="H44" s="5">
        <v>1</v>
      </c>
      <c r="I44" s="5">
        <v>473081</v>
      </c>
      <c r="J44" s="5">
        <f>$C$8/I44</f>
        <v>0.68022600780838804</v>
      </c>
      <c r="M44" s="35"/>
      <c r="N44" s="37">
        <v>64</v>
      </c>
      <c r="O44" s="5">
        <v>1</v>
      </c>
      <c r="P44" s="9">
        <v>0.68022600799999999</v>
      </c>
    </row>
    <row r="45" spans="6:23" ht="16" thickBot="1" x14ac:dyDescent="0.4">
      <c r="F45" s="35"/>
      <c r="G45" s="38"/>
      <c r="H45" s="5">
        <v>2</v>
      </c>
      <c r="I45" s="5">
        <v>1944879</v>
      </c>
      <c r="J45" s="5">
        <f t="shared" ref="J45:J50" si="6">$C$8/I45</f>
        <v>0.16546119321561906</v>
      </c>
      <c r="M45" s="35"/>
      <c r="N45" s="38"/>
      <c r="O45" s="5">
        <v>2</v>
      </c>
      <c r="P45" s="9">
        <v>0.16546119300000001</v>
      </c>
    </row>
    <row r="46" spans="6:23" ht="16" thickBot="1" x14ac:dyDescent="0.4">
      <c r="F46" s="35"/>
      <c r="G46" s="38"/>
      <c r="H46" s="5">
        <v>4</v>
      </c>
      <c r="I46" s="5">
        <v>1697800</v>
      </c>
      <c r="J46" s="5">
        <f t="shared" si="6"/>
        <v>0.18954058192955589</v>
      </c>
      <c r="M46" s="35"/>
      <c r="N46" s="38"/>
      <c r="O46" s="5">
        <v>4</v>
      </c>
      <c r="P46" s="9">
        <v>0.18954058200000001</v>
      </c>
    </row>
    <row r="47" spans="6:23" ht="16" thickBot="1" x14ac:dyDescent="0.4">
      <c r="F47" s="35"/>
      <c r="G47" s="38"/>
      <c r="H47" s="5">
        <v>8</v>
      </c>
      <c r="I47" s="5">
        <v>1530774</v>
      </c>
      <c r="J47" s="5">
        <f t="shared" si="6"/>
        <v>0.21022175709804322</v>
      </c>
      <c r="M47" s="35"/>
      <c r="N47" s="38"/>
      <c r="O47" s="5">
        <v>8</v>
      </c>
      <c r="P47" s="9">
        <v>0.21022175700000001</v>
      </c>
    </row>
    <row r="48" spans="6:23" ht="16" thickBot="1" x14ac:dyDescent="0.4">
      <c r="F48" s="35"/>
      <c r="G48" s="38"/>
      <c r="H48" s="5">
        <v>16</v>
      </c>
      <c r="I48" s="5">
        <v>1438362</v>
      </c>
      <c r="J48" s="5">
        <f t="shared" si="6"/>
        <v>0.22372810182693925</v>
      </c>
      <c r="M48" s="35"/>
      <c r="N48" s="38"/>
      <c r="O48" s="5">
        <v>16</v>
      </c>
      <c r="P48" s="9">
        <v>0.22372810200000001</v>
      </c>
    </row>
    <row r="49" spans="6:23" ht="16" thickBot="1" x14ac:dyDescent="0.4">
      <c r="F49" s="35"/>
      <c r="G49" s="38"/>
      <c r="H49" s="5">
        <v>32</v>
      </c>
      <c r="I49" s="5">
        <v>12726808</v>
      </c>
      <c r="J49" s="5">
        <f t="shared" si="6"/>
        <v>2.5285366134226273E-2</v>
      </c>
      <c r="M49" s="35"/>
      <c r="N49" s="38"/>
      <c r="O49" s="5">
        <v>32</v>
      </c>
      <c r="P49" s="9">
        <v>2.5285366E-2</v>
      </c>
    </row>
    <row r="50" spans="6:23" ht="16" thickBot="1" x14ac:dyDescent="0.4">
      <c r="F50" s="35"/>
      <c r="G50" s="39"/>
      <c r="H50" s="5">
        <v>64</v>
      </c>
      <c r="I50" s="5">
        <v>13303574</v>
      </c>
      <c r="J50" s="5">
        <f t="shared" si="6"/>
        <v>2.4189138948676497E-2</v>
      </c>
      <c r="M50" s="35"/>
      <c r="N50" s="39"/>
      <c r="O50" s="5">
        <v>64</v>
      </c>
      <c r="P50" s="9">
        <v>2.4189138999999998E-2</v>
      </c>
    </row>
    <row r="51" spans="6:23" ht="16" thickBot="1" x14ac:dyDescent="0.4">
      <c r="F51" s="35"/>
      <c r="G51" s="37">
        <v>256</v>
      </c>
      <c r="H51" s="5">
        <v>1</v>
      </c>
      <c r="I51" s="5">
        <v>1846890</v>
      </c>
      <c r="J51" s="5">
        <f>$C$9/I51</f>
        <v>0.69975418135351863</v>
      </c>
      <c r="M51" s="35"/>
      <c r="N51" s="37">
        <v>256</v>
      </c>
      <c r="O51" s="5">
        <v>1</v>
      </c>
      <c r="P51" s="9">
        <v>0.69975418099999998</v>
      </c>
    </row>
    <row r="52" spans="6:23" ht="16" thickBot="1" x14ac:dyDescent="0.4">
      <c r="F52" s="35"/>
      <c r="G52" s="38"/>
      <c r="H52" s="5">
        <v>2</v>
      </c>
      <c r="I52" s="5">
        <v>7920136</v>
      </c>
      <c r="J52" s="5">
        <f t="shared" ref="J52:J57" si="7">$C$9/I52</f>
        <v>0.16317510204370228</v>
      </c>
      <c r="M52" s="35"/>
      <c r="N52" s="38"/>
      <c r="O52" s="5">
        <v>2</v>
      </c>
      <c r="P52" s="9">
        <v>0.16317510199999999</v>
      </c>
    </row>
    <row r="53" spans="6:23" ht="16" thickBot="1" x14ac:dyDescent="0.4">
      <c r="F53" s="35"/>
      <c r="G53" s="38"/>
      <c r="H53" s="5">
        <v>4</v>
      </c>
      <c r="I53" s="5">
        <v>6868780</v>
      </c>
      <c r="J53" s="5">
        <f t="shared" si="7"/>
        <v>0.18815117095029976</v>
      </c>
      <c r="M53" s="35"/>
      <c r="N53" s="38"/>
      <c r="O53" s="5">
        <v>4</v>
      </c>
      <c r="P53" s="9">
        <v>0.18815117100000001</v>
      </c>
    </row>
    <row r="54" spans="6:23" ht="16" thickBot="1" x14ac:dyDescent="0.4">
      <c r="F54" s="35"/>
      <c r="G54" s="38"/>
      <c r="H54" s="5">
        <v>8</v>
      </c>
      <c r="I54" s="5">
        <v>5839103</v>
      </c>
      <c r="J54" s="5">
        <f t="shared" si="7"/>
        <v>0.22133005703102002</v>
      </c>
      <c r="M54" s="35"/>
      <c r="N54" s="38"/>
      <c r="O54" s="5">
        <v>8</v>
      </c>
      <c r="P54" s="9">
        <v>0.221330057</v>
      </c>
    </row>
    <row r="55" spans="6:23" ht="16" thickBot="1" x14ac:dyDescent="0.4">
      <c r="F55" s="35"/>
      <c r="G55" s="38"/>
      <c r="H55" s="5">
        <v>16</v>
      </c>
      <c r="I55" s="5">
        <v>5031512</v>
      </c>
      <c r="J55" s="5">
        <f t="shared" si="7"/>
        <v>0.25685499706648818</v>
      </c>
      <c r="M55" s="35"/>
      <c r="N55" s="38"/>
      <c r="O55" s="5">
        <v>16</v>
      </c>
      <c r="P55" s="9">
        <v>0.25685499699999997</v>
      </c>
    </row>
    <row r="56" spans="6:23" ht="16" thickBot="1" x14ac:dyDescent="0.4">
      <c r="F56" s="35"/>
      <c r="G56" s="38"/>
      <c r="H56" s="5">
        <v>32</v>
      </c>
      <c r="I56" s="5">
        <v>64271322</v>
      </c>
      <c r="J56" s="5">
        <f t="shared" si="7"/>
        <v>2.0108019561197139E-2</v>
      </c>
      <c r="M56" s="35"/>
      <c r="N56" s="38"/>
      <c r="O56" s="5">
        <v>32</v>
      </c>
      <c r="P56" s="9">
        <v>2.0108020000000001E-2</v>
      </c>
    </row>
    <row r="57" spans="6:23" ht="16" thickBot="1" x14ac:dyDescent="0.4">
      <c r="F57" s="36"/>
      <c r="G57" s="39"/>
      <c r="H57" s="5">
        <v>64</v>
      </c>
      <c r="I57" s="5">
        <v>51186862</v>
      </c>
      <c r="J57" s="5">
        <f t="shared" si="7"/>
        <v>2.5248060723081639E-2</v>
      </c>
      <c r="M57" s="36"/>
      <c r="N57" s="39"/>
      <c r="O57" s="5">
        <v>64</v>
      </c>
      <c r="P57" s="9">
        <v>2.5248060999999999E-2</v>
      </c>
    </row>
    <row r="58" spans="6:23" ht="16" thickBot="1" x14ac:dyDescent="0.4">
      <c r="F58" s="19">
        <v>258</v>
      </c>
      <c r="G58" s="22">
        <v>4</v>
      </c>
      <c r="H58" s="4">
        <v>1</v>
      </c>
      <c r="I58" s="4">
        <v>351440</v>
      </c>
      <c r="J58" s="4">
        <f>$C$10/I58</f>
        <v>0.90312144320509902</v>
      </c>
      <c r="M58" s="19">
        <v>258</v>
      </c>
      <c r="N58" s="22">
        <v>4</v>
      </c>
      <c r="O58" s="4">
        <v>1</v>
      </c>
      <c r="P58" s="10">
        <v>0.90312144299999997</v>
      </c>
      <c r="S58" s="58" t="s">
        <v>6</v>
      </c>
      <c r="T58" s="58" t="s">
        <v>20</v>
      </c>
      <c r="U58" s="58" t="s">
        <v>21</v>
      </c>
      <c r="V58" s="58" t="s">
        <v>22</v>
      </c>
      <c r="W58" s="58" t="s">
        <v>23</v>
      </c>
    </row>
    <row r="59" spans="6:23" ht="16" thickBot="1" x14ac:dyDescent="0.4">
      <c r="F59" s="20"/>
      <c r="G59" s="23"/>
      <c r="H59" s="4">
        <v>2</v>
      </c>
      <c r="I59" s="4">
        <v>937095</v>
      </c>
      <c r="J59" s="4">
        <f t="shared" ref="J59:J64" si="8">$C$10/I59</f>
        <v>0.33869885123706772</v>
      </c>
      <c r="M59" s="20"/>
      <c r="N59" s="23"/>
      <c r="O59" s="4">
        <v>2</v>
      </c>
      <c r="P59" s="10">
        <v>0.33869885100000002</v>
      </c>
      <c r="S59" s="59">
        <v>1</v>
      </c>
      <c r="T59" s="10">
        <v>0.90312144299999997</v>
      </c>
      <c r="U59" s="10">
        <v>0.91502329100000002</v>
      </c>
      <c r="V59" s="10">
        <v>0.922125207</v>
      </c>
      <c r="W59" s="10">
        <v>0.92349354699999997</v>
      </c>
    </row>
    <row r="60" spans="6:23" ht="16" thickBot="1" x14ac:dyDescent="0.4">
      <c r="F60" s="20"/>
      <c r="G60" s="23"/>
      <c r="H60" s="4">
        <v>4</v>
      </c>
      <c r="I60" s="4">
        <v>816920</v>
      </c>
      <c r="J60" s="4">
        <f t="shared" si="8"/>
        <v>0.38852396807520934</v>
      </c>
      <c r="M60" s="20"/>
      <c r="N60" s="23"/>
      <c r="O60" s="4">
        <v>4</v>
      </c>
      <c r="P60" s="10">
        <v>0.388523968</v>
      </c>
      <c r="S60" s="59">
        <v>2</v>
      </c>
      <c r="T60" s="10">
        <v>0.33869885100000002</v>
      </c>
      <c r="U60" s="10">
        <v>0.33479215000000001</v>
      </c>
      <c r="V60" s="10">
        <v>0.33150903199999998</v>
      </c>
      <c r="W60" s="10">
        <v>0.33410055799999999</v>
      </c>
    </row>
    <row r="61" spans="6:23" ht="16" thickBot="1" x14ac:dyDescent="0.4">
      <c r="F61" s="20"/>
      <c r="G61" s="23"/>
      <c r="H61" s="4">
        <v>8</v>
      </c>
      <c r="I61" s="4">
        <v>626382</v>
      </c>
      <c r="J61" s="4">
        <f t="shared" si="8"/>
        <v>0.50670836646008344</v>
      </c>
      <c r="M61" s="20"/>
      <c r="N61" s="23"/>
      <c r="O61" s="4">
        <v>8</v>
      </c>
      <c r="P61" s="10">
        <v>0.50670836600000002</v>
      </c>
      <c r="S61" s="59">
        <v>4</v>
      </c>
      <c r="T61" s="10">
        <v>0.388523968</v>
      </c>
      <c r="U61" s="10">
        <v>0.40772888699999998</v>
      </c>
      <c r="V61" s="10">
        <v>0.41052091400000001</v>
      </c>
      <c r="W61" s="10">
        <v>0.40953963599999998</v>
      </c>
    </row>
    <row r="62" spans="6:23" ht="16" thickBot="1" x14ac:dyDescent="0.4">
      <c r="F62" s="20"/>
      <c r="G62" s="23"/>
      <c r="H62" s="4">
        <v>16</v>
      </c>
      <c r="I62" s="4">
        <v>564054</v>
      </c>
      <c r="J62" s="4">
        <f t="shared" si="8"/>
        <v>0.56269967059891424</v>
      </c>
      <c r="M62" s="20"/>
      <c r="N62" s="23"/>
      <c r="O62" s="4">
        <v>16</v>
      </c>
      <c r="P62" s="10">
        <v>0.56269967099999996</v>
      </c>
      <c r="S62" s="59">
        <v>8</v>
      </c>
      <c r="T62" s="10">
        <v>0.50670836600000002</v>
      </c>
      <c r="U62" s="10">
        <v>0.566645815</v>
      </c>
      <c r="V62" s="10">
        <v>0.58818417099999998</v>
      </c>
      <c r="W62" s="10">
        <v>0.59029024299999999</v>
      </c>
    </row>
    <row r="63" spans="6:23" ht="16" thickBot="1" x14ac:dyDescent="0.4">
      <c r="F63" s="20"/>
      <c r="G63" s="23"/>
      <c r="H63" s="4">
        <v>32</v>
      </c>
      <c r="I63" s="4">
        <v>12548345</v>
      </c>
      <c r="J63" s="4">
        <f t="shared" si="8"/>
        <v>2.5293614416881272E-2</v>
      </c>
      <c r="M63" s="20"/>
      <c r="N63" s="23"/>
      <c r="O63" s="4">
        <v>32</v>
      </c>
      <c r="P63" s="10">
        <v>2.5293613999999999E-2</v>
      </c>
      <c r="S63" s="59">
        <v>16</v>
      </c>
      <c r="T63" s="10">
        <v>0.56269967099999996</v>
      </c>
      <c r="U63" s="10">
        <v>0.769500501</v>
      </c>
      <c r="V63" s="10">
        <v>0.83327896000000001</v>
      </c>
      <c r="W63" s="10">
        <v>0.85388257400000001</v>
      </c>
    </row>
    <row r="64" spans="6:23" ht="16" thickBot="1" x14ac:dyDescent="0.4">
      <c r="F64" s="20"/>
      <c r="G64" s="24"/>
      <c r="H64" s="4">
        <v>64</v>
      </c>
      <c r="I64" s="4">
        <v>1721023</v>
      </c>
      <c r="J64" s="4">
        <f t="shared" si="8"/>
        <v>0.18442112627199056</v>
      </c>
      <c r="M64" s="20"/>
      <c r="N64" s="24"/>
      <c r="O64" s="4">
        <v>64</v>
      </c>
      <c r="P64" s="10">
        <v>0.18442112599999999</v>
      </c>
      <c r="S64" s="59">
        <v>32</v>
      </c>
      <c r="T64" s="10">
        <v>2.5293613999999999E-2</v>
      </c>
      <c r="U64" s="10">
        <v>5.3989500000000003E-2</v>
      </c>
      <c r="V64" s="10">
        <v>0.17214695099999999</v>
      </c>
      <c r="W64" s="10">
        <v>0.73077851800000004</v>
      </c>
    </row>
    <row r="65" spans="6:23" ht="16" thickBot="1" x14ac:dyDescent="0.4">
      <c r="F65" s="20"/>
      <c r="G65" s="22">
        <v>16</v>
      </c>
      <c r="H65" s="4">
        <v>1</v>
      </c>
      <c r="I65" s="4">
        <v>1385968</v>
      </c>
      <c r="J65" s="4">
        <f>$C$11/I65</f>
        <v>0.9150232905810235</v>
      </c>
      <c r="M65" s="20"/>
      <c r="N65" s="22">
        <v>16</v>
      </c>
      <c r="O65" s="4">
        <v>1</v>
      </c>
      <c r="P65" s="10">
        <v>0.91502329100000002</v>
      </c>
      <c r="S65" s="59">
        <v>64</v>
      </c>
      <c r="T65" s="10">
        <v>0.18442112599999999</v>
      </c>
      <c r="U65" s="10">
        <v>0.29466840599999999</v>
      </c>
      <c r="V65" s="10">
        <v>0.34927155999999998</v>
      </c>
      <c r="W65" s="10">
        <v>0.37241478</v>
      </c>
    </row>
    <row r="66" spans="6:23" ht="16" thickBot="1" x14ac:dyDescent="0.4">
      <c r="F66" s="20"/>
      <c r="G66" s="23"/>
      <c r="H66" s="4">
        <v>2</v>
      </c>
      <c r="I66" s="4">
        <v>3788001</v>
      </c>
      <c r="J66" s="4">
        <f t="shared" ref="J66:J71" si="9">$C$11/I66</f>
        <v>0.33479215026606379</v>
      </c>
      <c r="M66" s="20"/>
      <c r="N66" s="23"/>
      <c r="O66" s="4">
        <v>2</v>
      </c>
      <c r="P66" s="10">
        <v>0.33479215000000001</v>
      </c>
    </row>
    <row r="67" spans="6:23" ht="16" thickBot="1" x14ac:dyDescent="0.4">
      <c r="F67" s="20"/>
      <c r="G67" s="23"/>
      <c r="H67" s="4">
        <v>4</v>
      </c>
      <c r="I67" s="4">
        <v>3110383</v>
      </c>
      <c r="J67" s="4">
        <f t="shared" si="9"/>
        <v>0.40772888740711355</v>
      </c>
      <c r="M67" s="20"/>
      <c r="N67" s="23"/>
      <c r="O67" s="4">
        <v>4</v>
      </c>
      <c r="P67" s="10">
        <v>0.40772888699999998</v>
      </c>
    </row>
    <row r="68" spans="6:23" ht="16" thickBot="1" x14ac:dyDescent="0.4">
      <c r="F68" s="20"/>
      <c r="G68" s="23"/>
      <c r="H68" s="4">
        <v>8</v>
      </c>
      <c r="I68" s="4">
        <v>2238070</v>
      </c>
      <c r="J68" s="4">
        <f t="shared" si="9"/>
        <v>0.5666458153677052</v>
      </c>
      <c r="M68" s="20"/>
      <c r="N68" s="23"/>
      <c r="O68" s="4">
        <v>8</v>
      </c>
      <c r="P68" s="10">
        <v>0.566645815</v>
      </c>
    </row>
    <row r="69" spans="6:23" ht="16" thickBot="1" x14ac:dyDescent="0.4">
      <c r="F69" s="20"/>
      <c r="G69" s="23"/>
      <c r="H69" s="4">
        <v>16</v>
      </c>
      <c r="I69" s="4">
        <v>1648073</v>
      </c>
      <c r="J69" s="4">
        <f t="shared" si="9"/>
        <v>0.769500501494776</v>
      </c>
      <c r="M69" s="20"/>
      <c r="N69" s="23"/>
      <c r="O69" s="4">
        <v>16</v>
      </c>
      <c r="P69" s="10">
        <v>0.769500501</v>
      </c>
    </row>
    <row r="70" spans="6:23" ht="16" thickBot="1" x14ac:dyDescent="0.4">
      <c r="F70" s="20"/>
      <c r="G70" s="23"/>
      <c r="H70" s="4">
        <v>32</v>
      </c>
      <c r="I70" s="4">
        <v>23489623</v>
      </c>
      <c r="J70" s="4">
        <f t="shared" si="9"/>
        <v>5.3989499959194748E-2</v>
      </c>
      <c r="M70" s="20"/>
      <c r="N70" s="23"/>
      <c r="O70" s="4">
        <v>32</v>
      </c>
      <c r="P70" s="10">
        <v>5.3989500000000003E-2</v>
      </c>
    </row>
    <row r="71" spans="6:23" ht="16" thickBot="1" x14ac:dyDescent="0.4">
      <c r="F71" s="20"/>
      <c r="G71" s="24"/>
      <c r="H71" s="4">
        <v>64</v>
      </c>
      <c r="I71" s="4">
        <v>4303797</v>
      </c>
      <c r="J71" s="4">
        <f t="shared" si="9"/>
        <v>0.29466840559626767</v>
      </c>
      <c r="M71" s="20"/>
      <c r="N71" s="24"/>
      <c r="O71" s="4">
        <v>64</v>
      </c>
      <c r="P71" s="10">
        <v>0.29466840599999999</v>
      </c>
    </row>
    <row r="72" spans="6:23" ht="16" thickBot="1" x14ac:dyDescent="0.4">
      <c r="F72" s="20"/>
      <c r="G72" s="22">
        <v>64</v>
      </c>
      <c r="H72" s="4">
        <v>1</v>
      </c>
      <c r="I72" s="4">
        <v>5503822</v>
      </c>
      <c r="J72" s="4">
        <f>$C$12/I72</f>
        <v>0.92212520681083077</v>
      </c>
      <c r="M72" s="20"/>
      <c r="N72" s="22">
        <v>64</v>
      </c>
      <c r="O72" s="4">
        <v>1</v>
      </c>
      <c r="P72" s="10">
        <v>0.922125207</v>
      </c>
    </row>
    <row r="73" spans="6:23" ht="16" thickBot="1" x14ac:dyDescent="0.4">
      <c r="F73" s="20"/>
      <c r="G73" s="23"/>
      <c r="H73" s="4">
        <v>2</v>
      </c>
      <c r="I73" s="4">
        <v>15309426</v>
      </c>
      <c r="J73" s="4">
        <f t="shared" ref="J73:J78" si="10">$C$12/I73</f>
        <v>0.33150903240918372</v>
      </c>
      <c r="M73" s="20"/>
      <c r="N73" s="23"/>
      <c r="O73" s="4">
        <v>2</v>
      </c>
      <c r="P73" s="10">
        <v>0.33150903199999998</v>
      </c>
    </row>
    <row r="74" spans="6:23" ht="16" thickBot="1" x14ac:dyDescent="0.4">
      <c r="F74" s="20"/>
      <c r="G74" s="23"/>
      <c r="H74" s="4">
        <v>4</v>
      </c>
      <c r="I74" s="4">
        <v>12362861</v>
      </c>
      <c r="J74" s="4">
        <f t="shared" si="10"/>
        <v>0.41052091421233322</v>
      </c>
      <c r="M74" s="20"/>
      <c r="N74" s="23"/>
      <c r="O74" s="4">
        <v>4</v>
      </c>
      <c r="P74" s="10">
        <v>0.41052091400000001</v>
      </c>
    </row>
    <row r="75" spans="6:23" ht="16" thickBot="1" x14ac:dyDescent="0.4">
      <c r="F75" s="20"/>
      <c r="G75" s="23"/>
      <c r="H75" s="4">
        <v>8</v>
      </c>
      <c r="I75" s="4">
        <v>8628612</v>
      </c>
      <c r="J75" s="4">
        <f t="shared" si="10"/>
        <v>0.58818417145190904</v>
      </c>
      <c r="M75" s="20"/>
      <c r="N75" s="23"/>
      <c r="O75" s="4">
        <v>8</v>
      </c>
      <c r="P75" s="10">
        <v>0.58818417099999998</v>
      </c>
    </row>
    <row r="76" spans="6:23" ht="16" thickBot="1" x14ac:dyDescent="0.4">
      <c r="F76" s="20"/>
      <c r="G76" s="23"/>
      <c r="H76" s="4">
        <v>16</v>
      </c>
      <c r="I76" s="4">
        <v>6090653</v>
      </c>
      <c r="J76" s="4">
        <f t="shared" si="10"/>
        <v>0.83327896040046934</v>
      </c>
      <c r="M76" s="20"/>
      <c r="N76" s="23"/>
      <c r="O76" s="4">
        <v>16</v>
      </c>
      <c r="P76" s="10">
        <v>0.83327896000000001</v>
      </c>
    </row>
    <row r="77" spans="6:23" ht="16" thickBot="1" x14ac:dyDescent="0.4">
      <c r="F77" s="20"/>
      <c r="G77" s="23"/>
      <c r="H77" s="4">
        <v>32</v>
      </c>
      <c r="I77" s="4">
        <v>29481864</v>
      </c>
      <c r="J77" s="4">
        <f t="shared" si="10"/>
        <v>0.17214695108830297</v>
      </c>
      <c r="M77" s="20"/>
      <c r="N77" s="23"/>
      <c r="O77" s="4">
        <v>32</v>
      </c>
      <c r="P77" s="10">
        <v>0.17214695099999999</v>
      </c>
    </row>
    <row r="78" spans="6:23" ht="16" thickBot="1" x14ac:dyDescent="0.4">
      <c r="F78" s="20"/>
      <c r="G78" s="24"/>
      <c r="H78" s="4">
        <v>64</v>
      </c>
      <c r="I78" s="4">
        <v>14530851</v>
      </c>
      <c r="J78" s="4">
        <f t="shared" si="10"/>
        <v>0.34927156021350714</v>
      </c>
      <c r="M78" s="20"/>
      <c r="N78" s="24"/>
      <c r="O78" s="4">
        <v>64</v>
      </c>
      <c r="P78" s="10">
        <v>0.34927155999999998</v>
      </c>
    </row>
    <row r="79" spans="6:23" ht="16" thickBot="1" x14ac:dyDescent="0.4">
      <c r="F79" s="20"/>
      <c r="G79" s="22">
        <v>256</v>
      </c>
      <c r="H79" s="4">
        <v>1</v>
      </c>
      <c r="I79" s="4">
        <v>22055303</v>
      </c>
      <c r="J79" s="4">
        <f>$C$13/I79</f>
        <v>0.92349354710746889</v>
      </c>
      <c r="M79" s="20"/>
      <c r="N79" s="22">
        <v>256</v>
      </c>
      <c r="O79" s="4">
        <v>1</v>
      </c>
      <c r="P79" s="10">
        <v>0.92349354699999997</v>
      </c>
    </row>
    <row r="80" spans="6:23" ht="16" thickBot="1" x14ac:dyDescent="0.4">
      <c r="F80" s="20"/>
      <c r="G80" s="23"/>
      <c r="H80" s="4">
        <v>2</v>
      </c>
      <c r="I80" s="4">
        <v>60963472</v>
      </c>
      <c r="J80" s="4">
        <f t="shared" ref="J80:J85" si="11">$C$13/I80</f>
        <v>0.33410055778975317</v>
      </c>
      <c r="M80" s="20"/>
      <c r="N80" s="23"/>
      <c r="O80" s="4">
        <v>2</v>
      </c>
      <c r="P80" s="10">
        <v>0.33410055799999999</v>
      </c>
    </row>
    <row r="81" spans="6:23" ht="16" thickBot="1" x14ac:dyDescent="0.4">
      <c r="F81" s="20"/>
      <c r="G81" s="23"/>
      <c r="H81" s="4">
        <v>4</v>
      </c>
      <c r="I81" s="4">
        <v>49733721</v>
      </c>
      <c r="J81" s="4">
        <f t="shared" si="11"/>
        <v>0.40953963609519584</v>
      </c>
      <c r="M81" s="20"/>
      <c r="N81" s="23"/>
      <c r="O81" s="4">
        <v>4</v>
      </c>
      <c r="P81" s="10">
        <v>0.40953963599999998</v>
      </c>
    </row>
    <row r="82" spans="6:23" ht="16" thickBot="1" x14ac:dyDescent="0.4">
      <c r="F82" s="20"/>
      <c r="G82" s="23"/>
      <c r="H82" s="4">
        <v>8</v>
      </c>
      <c r="I82" s="4">
        <v>34504941</v>
      </c>
      <c r="J82" s="4">
        <f t="shared" si="11"/>
        <v>0.5902902427800123</v>
      </c>
      <c r="M82" s="20"/>
      <c r="N82" s="23"/>
      <c r="O82" s="4">
        <v>8</v>
      </c>
      <c r="P82" s="10">
        <v>0.59029024299999999</v>
      </c>
    </row>
    <row r="83" spans="6:23" ht="16" thickBot="1" x14ac:dyDescent="0.4">
      <c r="F83" s="20"/>
      <c r="G83" s="23"/>
      <c r="H83" s="4">
        <v>16</v>
      </c>
      <c r="I83" s="4">
        <v>23853315</v>
      </c>
      <c r="J83" s="4">
        <f t="shared" si="11"/>
        <v>0.8538825735542418</v>
      </c>
      <c r="M83" s="20"/>
      <c r="N83" s="23"/>
      <c r="O83" s="4">
        <v>16</v>
      </c>
      <c r="P83" s="10">
        <v>0.85388257400000001</v>
      </c>
    </row>
    <row r="84" spans="6:23" ht="16" thickBot="1" x14ac:dyDescent="0.4">
      <c r="F84" s="20"/>
      <c r="G84" s="23"/>
      <c r="H84" s="4">
        <v>32</v>
      </c>
      <c r="I84" s="4">
        <v>27871550</v>
      </c>
      <c r="J84" s="4">
        <f t="shared" si="11"/>
        <v>0.73077851787934289</v>
      </c>
      <c r="M84" s="20"/>
      <c r="N84" s="23"/>
      <c r="O84" s="4">
        <v>32</v>
      </c>
      <c r="P84" s="10">
        <v>0.73077851800000004</v>
      </c>
    </row>
    <row r="85" spans="6:23" ht="16" thickBot="1" x14ac:dyDescent="0.4">
      <c r="F85" s="21"/>
      <c r="G85" s="24"/>
      <c r="H85" s="4">
        <v>64</v>
      </c>
      <c r="I85" s="4">
        <v>54691519</v>
      </c>
      <c r="J85" s="4">
        <f t="shared" si="11"/>
        <v>0.37241477970286396</v>
      </c>
      <c r="M85" s="21"/>
      <c r="N85" s="24"/>
      <c r="O85" s="4">
        <v>64</v>
      </c>
      <c r="P85" s="10">
        <v>0.37241478</v>
      </c>
    </row>
    <row r="86" spans="6:23" ht="16" thickBot="1" x14ac:dyDescent="0.4">
      <c r="F86" s="25">
        <v>1026</v>
      </c>
      <c r="G86" s="28">
        <v>4</v>
      </c>
      <c r="H86" s="17">
        <v>1</v>
      </c>
      <c r="I86" s="17">
        <v>5628801</v>
      </c>
      <c r="J86" s="17">
        <f>$C$14/I86</f>
        <v>0.98107039136753993</v>
      </c>
      <c r="M86" s="25">
        <v>1026</v>
      </c>
      <c r="N86" s="28">
        <v>4</v>
      </c>
      <c r="O86" s="17">
        <v>1</v>
      </c>
      <c r="P86" s="18">
        <v>0.98107039100000004</v>
      </c>
      <c r="S86" s="58" t="s">
        <v>6</v>
      </c>
      <c r="T86" s="58" t="s">
        <v>20</v>
      </c>
      <c r="U86" s="58" t="s">
        <v>21</v>
      </c>
      <c r="V86" s="58" t="s">
        <v>22</v>
      </c>
      <c r="W86" s="58" t="s">
        <v>23</v>
      </c>
    </row>
    <row r="87" spans="6:23" ht="16" thickBot="1" x14ac:dyDescent="0.4">
      <c r="F87" s="26"/>
      <c r="G87" s="29"/>
      <c r="H87" s="17">
        <v>2</v>
      </c>
      <c r="I87" s="17">
        <v>4824772</v>
      </c>
      <c r="J87" s="17">
        <f t="shared" ref="J87:J92" si="12">$C$14/I87</f>
        <v>1.1445618570162486</v>
      </c>
      <c r="M87" s="26"/>
      <c r="N87" s="29"/>
      <c r="O87" s="17">
        <v>2</v>
      </c>
      <c r="P87" s="18">
        <v>1.144561857</v>
      </c>
      <c r="S87" s="59">
        <v>1</v>
      </c>
      <c r="T87" s="18">
        <v>0.98107039100000004</v>
      </c>
      <c r="U87" s="18">
        <v>0.97202891999999996</v>
      </c>
      <c r="V87" s="18">
        <v>0.97371443000000002</v>
      </c>
      <c r="W87" s="18">
        <v>0.98811304099999997</v>
      </c>
    </row>
    <row r="88" spans="6:23" ht="16" thickBot="1" x14ac:dyDescent="0.4">
      <c r="F88" s="26"/>
      <c r="G88" s="29"/>
      <c r="H88" s="17">
        <v>4</v>
      </c>
      <c r="I88" s="17">
        <v>4349955</v>
      </c>
      <c r="J88" s="17">
        <f t="shared" si="12"/>
        <v>1.2694958913368068</v>
      </c>
      <c r="M88" s="26"/>
      <c r="N88" s="29"/>
      <c r="O88" s="17">
        <v>4</v>
      </c>
      <c r="P88" s="18">
        <v>1.269495891</v>
      </c>
      <c r="S88" s="59">
        <v>2</v>
      </c>
      <c r="T88" s="18">
        <v>1.144561857</v>
      </c>
      <c r="U88" s="18">
        <v>1.1254057150000001</v>
      </c>
      <c r="V88" s="18">
        <v>1.0929295640000001</v>
      </c>
      <c r="W88" s="18">
        <v>1.081239595</v>
      </c>
    </row>
    <row r="89" spans="6:23" ht="16" thickBot="1" x14ac:dyDescent="0.4">
      <c r="F89" s="26"/>
      <c r="G89" s="29"/>
      <c r="H89" s="17">
        <v>8</v>
      </c>
      <c r="I89" s="17">
        <v>2921943</v>
      </c>
      <c r="J89" s="17">
        <f t="shared" si="12"/>
        <v>1.8899239307542961</v>
      </c>
      <c r="M89" s="26"/>
      <c r="N89" s="29"/>
      <c r="O89" s="17">
        <v>8</v>
      </c>
      <c r="P89" s="18">
        <v>1.889923931</v>
      </c>
      <c r="S89" s="59">
        <v>4</v>
      </c>
      <c r="T89" s="18">
        <v>1.269495891</v>
      </c>
      <c r="U89" s="18">
        <v>1.246329212</v>
      </c>
      <c r="V89" s="18">
        <v>1.2464593639999999</v>
      </c>
      <c r="W89" s="18">
        <v>1.1452392709999999</v>
      </c>
    </row>
    <row r="90" spans="6:23" ht="16" thickBot="1" x14ac:dyDescent="0.4">
      <c r="F90" s="26"/>
      <c r="G90" s="29"/>
      <c r="H90" s="17">
        <v>16</v>
      </c>
      <c r="I90" s="17">
        <v>1893189</v>
      </c>
      <c r="J90" s="17">
        <f t="shared" si="12"/>
        <v>2.9169037005814</v>
      </c>
      <c r="M90" s="26"/>
      <c r="N90" s="29"/>
      <c r="O90" s="17">
        <v>16</v>
      </c>
      <c r="P90" s="18">
        <v>2.9169037009999998</v>
      </c>
      <c r="S90" s="59">
        <v>8</v>
      </c>
      <c r="T90" s="18">
        <v>1.889923931</v>
      </c>
      <c r="U90" s="18">
        <v>1.915885947</v>
      </c>
      <c r="V90" s="18">
        <v>1.923374175</v>
      </c>
      <c r="W90" s="18">
        <v>1.951136757</v>
      </c>
    </row>
    <row r="91" spans="6:23" ht="16" thickBot="1" x14ac:dyDescent="0.4">
      <c r="F91" s="26"/>
      <c r="G91" s="29"/>
      <c r="H91" s="17">
        <v>32</v>
      </c>
      <c r="I91" s="17">
        <v>20898641</v>
      </c>
      <c r="J91" s="17">
        <f t="shared" si="12"/>
        <v>0.26423966993834669</v>
      </c>
      <c r="M91" s="26"/>
      <c r="N91" s="29"/>
      <c r="O91" s="17">
        <v>32</v>
      </c>
      <c r="P91" s="18">
        <v>0.26423966999999998</v>
      </c>
      <c r="S91" s="59">
        <v>16</v>
      </c>
      <c r="T91" s="18">
        <v>2.9169037009999998</v>
      </c>
      <c r="U91" s="18">
        <v>3.1728619419999999</v>
      </c>
      <c r="V91" s="18">
        <v>3.2657555579999999</v>
      </c>
      <c r="W91" s="18">
        <v>3.3213586400000001</v>
      </c>
    </row>
    <row r="92" spans="6:23" ht="16" thickBot="1" x14ac:dyDescent="0.4">
      <c r="F92" s="26"/>
      <c r="G92" s="30"/>
      <c r="H92" s="17">
        <v>64</v>
      </c>
      <c r="I92" s="17">
        <v>2421442</v>
      </c>
      <c r="J92" s="17">
        <f t="shared" si="12"/>
        <v>2.2805625738712716</v>
      </c>
      <c r="M92" s="26"/>
      <c r="N92" s="30"/>
      <c r="O92" s="17">
        <v>64</v>
      </c>
      <c r="P92" s="18">
        <v>2.2805625740000002</v>
      </c>
      <c r="S92" s="59">
        <v>32</v>
      </c>
      <c r="T92" s="18">
        <v>0.26423966999999998</v>
      </c>
      <c r="U92" s="18">
        <v>0.51416389500000004</v>
      </c>
      <c r="V92" s="18">
        <v>2.1092819920000001</v>
      </c>
      <c r="W92" s="18">
        <v>3.8940762260000001</v>
      </c>
    </row>
    <row r="93" spans="6:23" ht="16" thickBot="1" x14ac:dyDescent="0.4">
      <c r="F93" s="26"/>
      <c r="G93" s="28">
        <v>16</v>
      </c>
      <c r="H93" s="17">
        <v>1</v>
      </c>
      <c r="I93" s="17">
        <v>22449723</v>
      </c>
      <c r="J93" s="17">
        <f>$C$15/I93</f>
        <v>0.97202891991139495</v>
      </c>
      <c r="M93" s="26"/>
      <c r="N93" s="28">
        <v>16</v>
      </c>
      <c r="O93" s="17">
        <v>1</v>
      </c>
      <c r="P93" s="18">
        <v>0.97202891999999996</v>
      </c>
      <c r="S93" s="59">
        <v>64</v>
      </c>
      <c r="T93" s="18">
        <v>2.2805625740000002</v>
      </c>
      <c r="U93" s="18">
        <v>2.980130623</v>
      </c>
      <c r="V93" s="18">
        <v>3.2494012780000001</v>
      </c>
      <c r="W93" s="18">
        <v>3.3560760329999999</v>
      </c>
    </row>
    <row r="94" spans="6:23" ht="16" thickBot="1" x14ac:dyDescent="0.4">
      <c r="F94" s="26"/>
      <c r="G94" s="29"/>
      <c r="H94" s="17">
        <v>2</v>
      </c>
      <c r="I94" s="17">
        <v>19390145</v>
      </c>
      <c r="J94" s="17">
        <f t="shared" ref="J94:J99" si="13">$C$15/I94</f>
        <v>1.1254057151197168</v>
      </c>
      <c r="M94" s="26"/>
      <c r="N94" s="29"/>
      <c r="O94" s="17">
        <v>2</v>
      </c>
      <c r="P94" s="18">
        <v>1.1254057150000001</v>
      </c>
    </row>
    <row r="95" spans="6:23" ht="16" thickBot="1" x14ac:dyDescent="0.4">
      <c r="F95" s="26"/>
      <c r="G95" s="29"/>
      <c r="H95" s="17">
        <v>4</v>
      </c>
      <c r="I95" s="17">
        <v>17508841</v>
      </c>
      <c r="J95" s="17">
        <f t="shared" si="13"/>
        <v>1.2463292116251441</v>
      </c>
      <c r="M95" s="26"/>
      <c r="N95" s="29"/>
      <c r="O95" s="17">
        <v>4</v>
      </c>
      <c r="P95" s="18">
        <v>1.246329212</v>
      </c>
    </row>
    <row r="96" spans="6:23" ht="16" thickBot="1" x14ac:dyDescent="0.4">
      <c r="F96" s="26"/>
      <c r="G96" s="29"/>
      <c r="H96" s="17">
        <v>8</v>
      </c>
      <c r="I96" s="17">
        <v>11389916</v>
      </c>
      <c r="J96" s="17">
        <f t="shared" si="13"/>
        <v>1.9158859468322682</v>
      </c>
      <c r="M96" s="26"/>
      <c r="N96" s="29"/>
      <c r="O96" s="17">
        <v>8</v>
      </c>
      <c r="P96" s="18">
        <v>1.915885947</v>
      </c>
    </row>
    <row r="97" spans="6:16" ht="16" thickBot="1" x14ac:dyDescent="0.4">
      <c r="F97" s="26"/>
      <c r="G97" s="29"/>
      <c r="H97" s="17">
        <v>16</v>
      </c>
      <c r="I97" s="17">
        <v>6877633</v>
      </c>
      <c r="J97" s="17">
        <f t="shared" si="13"/>
        <v>3.1728619424735225</v>
      </c>
      <c r="M97" s="26"/>
      <c r="N97" s="29"/>
      <c r="O97" s="17">
        <v>16</v>
      </c>
      <c r="P97" s="18">
        <v>3.1728619419999999</v>
      </c>
    </row>
    <row r="98" spans="6:16" ht="16" thickBot="1" x14ac:dyDescent="0.4">
      <c r="F98" s="26"/>
      <c r="G98" s="29"/>
      <c r="H98" s="17">
        <v>32</v>
      </c>
      <c r="I98" s="17">
        <v>42441292</v>
      </c>
      <c r="J98" s="17">
        <f t="shared" si="13"/>
        <v>0.51416389491629988</v>
      </c>
      <c r="M98" s="26"/>
      <c r="N98" s="29"/>
      <c r="O98" s="17">
        <v>32</v>
      </c>
      <c r="P98" s="18">
        <v>0.51416389500000004</v>
      </c>
    </row>
    <row r="99" spans="6:16" ht="16" thickBot="1" x14ac:dyDescent="0.4">
      <c r="F99" s="26"/>
      <c r="G99" s="30"/>
      <c r="H99" s="17">
        <v>64</v>
      </c>
      <c r="I99" s="17">
        <v>7322424</v>
      </c>
      <c r="J99" s="17">
        <f t="shared" si="13"/>
        <v>2.9801306234110454</v>
      </c>
      <c r="M99" s="26"/>
      <c r="N99" s="30"/>
      <c r="O99" s="17">
        <v>64</v>
      </c>
      <c r="P99" s="18">
        <v>2.980130623</v>
      </c>
    </row>
    <row r="100" spans="6:16" ht="16" thickBot="1" x14ac:dyDescent="0.4">
      <c r="F100" s="26"/>
      <c r="G100" s="28">
        <v>64</v>
      </c>
      <c r="H100" s="17">
        <v>1</v>
      </c>
      <c r="I100" s="17">
        <v>89996376</v>
      </c>
      <c r="J100" s="17">
        <f>$C$16/I100</f>
        <v>0.97371443045662198</v>
      </c>
      <c r="M100" s="26"/>
      <c r="N100" s="28">
        <v>64</v>
      </c>
      <c r="O100" s="17">
        <v>1</v>
      </c>
      <c r="P100" s="18">
        <v>0.97371443000000002</v>
      </c>
    </row>
    <row r="101" spans="6:16" ht="16" thickBot="1" x14ac:dyDescent="0.4">
      <c r="F101" s="26"/>
      <c r="G101" s="29"/>
      <c r="H101" s="17">
        <v>2</v>
      </c>
      <c r="I101" s="17">
        <v>80179705</v>
      </c>
      <c r="J101" s="17">
        <f t="shared" ref="J101:J106" si="14">$C$16/I101</f>
        <v>1.092929563659532</v>
      </c>
      <c r="M101" s="26"/>
      <c r="N101" s="29"/>
      <c r="O101" s="17">
        <v>2</v>
      </c>
      <c r="P101" s="18">
        <v>1.0929295640000001</v>
      </c>
    </row>
    <row r="102" spans="6:16" ht="16" thickBot="1" x14ac:dyDescent="0.4">
      <c r="F102" s="26"/>
      <c r="G102" s="29"/>
      <c r="H102" s="17">
        <v>4</v>
      </c>
      <c r="I102" s="17">
        <v>70303752</v>
      </c>
      <c r="J102" s="17">
        <f t="shared" si="14"/>
        <v>1.2464593639326675</v>
      </c>
      <c r="M102" s="26"/>
      <c r="N102" s="29"/>
      <c r="O102" s="17">
        <v>4</v>
      </c>
      <c r="P102" s="18">
        <v>1.2464593639999999</v>
      </c>
    </row>
    <row r="103" spans="6:16" ht="16" thickBot="1" x14ac:dyDescent="0.4">
      <c r="F103" s="26"/>
      <c r="G103" s="29"/>
      <c r="H103" s="17">
        <v>8</v>
      </c>
      <c r="I103" s="17">
        <v>45560958</v>
      </c>
      <c r="J103" s="17">
        <f t="shared" si="14"/>
        <v>1.9233741748801683</v>
      </c>
      <c r="M103" s="26"/>
      <c r="N103" s="29"/>
      <c r="O103" s="17">
        <v>8</v>
      </c>
      <c r="P103" s="18">
        <v>1.923374175</v>
      </c>
    </row>
    <row r="104" spans="6:16" ht="16" thickBot="1" x14ac:dyDescent="0.4">
      <c r="F104" s="26"/>
      <c r="G104" s="29"/>
      <c r="H104" s="17">
        <v>16</v>
      </c>
      <c r="I104" s="17">
        <v>26833230</v>
      </c>
      <c r="J104" s="17">
        <f t="shared" si="14"/>
        <v>3.2657555575679855</v>
      </c>
      <c r="M104" s="26"/>
      <c r="N104" s="29"/>
      <c r="O104" s="17">
        <v>16</v>
      </c>
      <c r="P104" s="18">
        <v>3.2657555579999999</v>
      </c>
    </row>
    <row r="105" spans="6:16" ht="16" thickBot="1" x14ac:dyDescent="0.4">
      <c r="F105" s="26"/>
      <c r="G105" s="29"/>
      <c r="H105" s="17">
        <v>32</v>
      </c>
      <c r="I105" s="17">
        <v>41545308</v>
      </c>
      <c r="J105" s="17">
        <f t="shared" si="14"/>
        <v>2.109281991602999</v>
      </c>
      <c r="M105" s="26"/>
      <c r="N105" s="29"/>
      <c r="O105" s="17">
        <v>32</v>
      </c>
      <c r="P105" s="18">
        <v>2.1092819920000001</v>
      </c>
    </row>
    <row r="106" spans="6:16" ht="16" thickBot="1" x14ac:dyDescent="0.4">
      <c r="F106" s="26"/>
      <c r="G106" s="30"/>
      <c r="H106" s="17">
        <v>64</v>
      </c>
      <c r="I106" s="17">
        <v>26968282</v>
      </c>
      <c r="J106" s="17">
        <f t="shared" si="14"/>
        <v>3.2494012781385186</v>
      </c>
      <c r="M106" s="26"/>
      <c r="N106" s="30"/>
      <c r="O106" s="17">
        <v>64</v>
      </c>
      <c r="P106" s="18">
        <v>3.2494012780000001</v>
      </c>
    </row>
    <row r="107" spans="6:16" ht="16" thickBot="1" x14ac:dyDescent="0.4">
      <c r="F107" s="26"/>
      <c r="G107" s="28">
        <v>256</v>
      </c>
      <c r="H107" s="17">
        <v>1</v>
      </c>
      <c r="I107" s="17">
        <v>355894898</v>
      </c>
      <c r="J107" s="17">
        <f>$C$17/I107</f>
        <v>0.98811304117093579</v>
      </c>
      <c r="M107" s="26"/>
      <c r="N107" s="28">
        <v>256</v>
      </c>
      <c r="O107" s="17">
        <v>1</v>
      </c>
      <c r="P107" s="18">
        <v>0.98811304099999997</v>
      </c>
    </row>
    <row r="108" spans="6:16" ht="16" thickBot="1" x14ac:dyDescent="0.4">
      <c r="F108" s="26"/>
      <c r="G108" s="29"/>
      <c r="H108" s="17">
        <v>2</v>
      </c>
      <c r="I108" s="17">
        <v>325241872</v>
      </c>
      <c r="J108" s="17">
        <f t="shared" ref="J108:J113" si="15">$C$17/I108</f>
        <v>1.081239595128145</v>
      </c>
      <c r="M108" s="26"/>
      <c r="N108" s="29"/>
      <c r="O108" s="17">
        <v>2</v>
      </c>
      <c r="P108" s="18">
        <v>1.081239595</v>
      </c>
    </row>
    <row r="109" spans="6:16" ht="16" thickBot="1" x14ac:dyDescent="0.4">
      <c r="F109" s="26"/>
      <c r="G109" s="29"/>
      <c r="H109" s="17">
        <v>4</v>
      </c>
      <c r="I109" s="17">
        <v>307066304</v>
      </c>
      <c r="J109" s="17">
        <f t="shared" si="15"/>
        <v>1.1452392705387824</v>
      </c>
      <c r="M109" s="26"/>
      <c r="N109" s="29"/>
      <c r="O109" s="17">
        <v>4</v>
      </c>
      <c r="P109" s="18">
        <v>1.1452392709999999</v>
      </c>
    </row>
    <row r="110" spans="6:16" ht="16" thickBot="1" x14ac:dyDescent="0.4">
      <c r="F110" s="26"/>
      <c r="G110" s="29"/>
      <c r="H110" s="17">
        <v>8</v>
      </c>
      <c r="I110" s="17">
        <v>180235644</v>
      </c>
      <c r="J110" s="17">
        <f t="shared" si="15"/>
        <v>1.9511367573885663</v>
      </c>
      <c r="M110" s="26"/>
      <c r="N110" s="29"/>
      <c r="O110" s="17">
        <v>8</v>
      </c>
      <c r="P110" s="18">
        <v>1.951136757</v>
      </c>
    </row>
    <row r="111" spans="6:16" ht="16" thickBot="1" x14ac:dyDescent="0.4">
      <c r="F111" s="26"/>
      <c r="G111" s="29"/>
      <c r="H111" s="17">
        <v>16</v>
      </c>
      <c r="I111" s="17">
        <v>105879680</v>
      </c>
      <c r="J111" s="17">
        <f t="shared" si="15"/>
        <v>3.3213586402981194</v>
      </c>
      <c r="M111" s="26"/>
      <c r="N111" s="29"/>
      <c r="O111" s="17">
        <v>16</v>
      </c>
      <c r="P111" s="18">
        <v>3.3213586400000001</v>
      </c>
    </row>
    <row r="112" spans="6:16" ht="16" thickBot="1" x14ac:dyDescent="0.4">
      <c r="F112" s="26"/>
      <c r="G112" s="29"/>
      <c r="H112" s="17">
        <v>32</v>
      </c>
      <c r="I112" s="17">
        <v>90307526</v>
      </c>
      <c r="J112" s="17">
        <f t="shared" si="15"/>
        <v>3.8940762257178876</v>
      </c>
      <c r="M112" s="26"/>
      <c r="N112" s="29"/>
      <c r="O112" s="17">
        <v>32</v>
      </c>
      <c r="P112" s="18">
        <v>3.8940762260000001</v>
      </c>
    </row>
    <row r="113" spans="6:23" ht="16" thickBot="1" x14ac:dyDescent="0.4">
      <c r="F113" s="27"/>
      <c r="G113" s="30"/>
      <c r="H113" s="17">
        <v>64</v>
      </c>
      <c r="I113" s="17">
        <v>104784393</v>
      </c>
      <c r="J113" s="17">
        <f t="shared" si="15"/>
        <v>3.3560760331932258</v>
      </c>
      <c r="M113" s="27"/>
      <c r="N113" s="30"/>
      <c r="O113" s="17">
        <v>64</v>
      </c>
      <c r="P113" s="18">
        <v>3.3560760329999999</v>
      </c>
    </row>
    <row r="114" spans="6:23" ht="16" thickBot="1" x14ac:dyDescent="0.4">
      <c r="F114" s="19">
        <v>4098</v>
      </c>
      <c r="G114" s="22">
        <v>4</v>
      </c>
      <c r="H114" s="4">
        <v>1</v>
      </c>
      <c r="I114" s="4">
        <v>93561933</v>
      </c>
      <c r="J114" s="4">
        <f>$C$18/I114</f>
        <v>0.9956483156456376</v>
      </c>
      <c r="M114" s="19">
        <v>4098</v>
      </c>
      <c r="N114" s="22">
        <v>4</v>
      </c>
      <c r="O114" s="4">
        <v>1</v>
      </c>
      <c r="P114" s="10">
        <v>0.99564831600000003</v>
      </c>
      <c r="S114" s="58" t="s">
        <v>6</v>
      </c>
      <c r="T114" s="58" t="s">
        <v>20</v>
      </c>
      <c r="U114" s="58" t="s">
        <v>21</v>
      </c>
      <c r="V114" s="58" t="s">
        <v>22</v>
      </c>
      <c r="W114" s="58" t="s">
        <v>23</v>
      </c>
    </row>
    <row r="115" spans="6:23" ht="16" thickBot="1" x14ac:dyDescent="0.4">
      <c r="F115" s="20"/>
      <c r="G115" s="23"/>
      <c r="H115" s="4">
        <v>2</v>
      </c>
      <c r="I115" s="4">
        <v>67330262</v>
      </c>
      <c r="J115" s="4">
        <f t="shared" ref="J115:J120" si="16">$C$18/I115</f>
        <v>1.3835499555905486</v>
      </c>
      <c r="M115" s="20"/>
      <c r="N115" s="23"/>
      <c r="O115" s="4">
        <v>2</v>
      </c>
      <c r="P115" s="10">
        <v>1.383549956</v>
      </c>
      <c r="S115" s="59">
        <v>1</v>
      </c>
      <c r="T115" s="10">
        <v>0.99564831600000003</v>
      </c>
      <c r="U115" s="10">
        <v>0.98796496300000003</v>
      </c>
      <c r="V115" s="10">
        <v>0.99500433499999996</v>
      </c>
      <c r="W115" s="10">
        <v>0.98645907099999997</v>
      </c>
    </row>
    <row r="116" spans="6:23" ht="16" thickBot="1" x14ac:dyDescent="0.4">
      <c r="F116" s="20"/>
      <c r="G116" s="23"/>
      <c r="H116" s="4">
        <v>4</v>
      </c>
      <c r="I116" s="4">
        <v>44158075</v>
      </c>
      <c r="J116" s="4">
        <f t="shared" si="16"/>
        <v>2.1095752249163939</v>
      </c>
      <c r="M116" s="20"/>
      <c r="N116" s="23"/>
      <c r="O116" s="4">
        <v>4</v>
      </c>
      <c r="P116" s="10">
        <v>2.1095752249999999</v>
      </c>
      <c r="S116" s="59">
        <v>2</v>
      </c>
      <c r="T116" s="10">
        <v>1.383549956</v>
      </c>
      <c r="U116" s="10">
        <v>1.0797501650000001</v>
      </c>
      <c r="V116" s="10">
        <v>0.75474128200000001</v>
      </c>
      <c r="W116" s="10">
        <v>0.53046518499999995</v>
      </c>
    </row>
    <row r="117" spans="6:23" ht="16" thickBot="1" x14ac:dyDescent="0.4">
      <c r="F117" s="20"/>
      <c r="G117" s="23"/>
      <c r="H117" s="4">
        <v>8</v>
      </c>
      <c r="I117" s="4">
        <v>26648842</v>
      </c>
      <c r="J117" s="4">
        <f t="shared" si="16"/>
        <v>3.4956408612426761</v>
      </c>
      <c r="M117" s="20"/>
      <c r="N117" s="23"/>
      <c r="O117" s="4">
        <v>8</v>
      </c>
      <c r="P117" s="10">
        <v>3.495640861</v>
      </c>
      <c r="S117" s="59">
        <v>4</v>
      </c>
      <c r="T117" s="10">
        <v>2.1095752249999999</v>
      </c>
      <c r="U117" s="10">
        <v>2.0892165899999999</v>
      </c>
      <c r="V117" s="10">
        <v>1.234618913</v>
      </c>
      <c r="W117" s="10">
        <v>1.046161049</v>
      </c>
    </row>
    <row r="118" spans="6:23" ht="16" thickBot="1" x14ac:dyDescent="0.4">
      <c r="F118" s="20"/>
      <c r="G118" s="23"/>
      <c r="H118" s="4">
        <v>16</v>
      </c>
      <c r="I118" s="4">
        <v>18780476</v>
      </c>
      <c r="J118" s="4">
        <f t="shared" si="16"/>
        <v>4.9601927554977836</v>
      </c>
      <c r="M118" s="20"/>
      <c r="N118" s="23"/>
      <c r="O118" s="4">
        <v>16</v>
      </c>
      <c r="P118" s="10">
        <v>4.9601927549999996</v>
      </c>
      <c r="S118" s="59">
        <v>8</v>
      </c>
      <c r="T118" s="10">
        <v>3.495640861</v>
      </c>
      <c r="U118" s="10">
        <v>3.4798022980000001</v>
      </c>
      <c r="V118" s="10">
        <v>3.017196378</v>
      </c>
      <c r="W118" s="10">
        <v>2.0565273930000001</v>
      </c>
    </row>
    <row r="119" spans="6:23" ht="16" thickBot="1" x14ac:dyDescent="0.4">
      <c r="F119" s="20"/>
      <c r="G119" s="23"/>
      <c r="H119" s="4">
        <v>32</v>
      </c>
      <c r="I119" s="4">
        <v>16126681</v>
      </c>
      <c r="J119" s="4">
        <f t="shared" si="16"/>
        <v>5.7764384996516025</v>
      </c>
      <c r="M119" s="20"/>
      <c r="N119" s="23"/>
      <c r="O119" s="4">
        <v>32</v>
      </c>
      <c r="P119" s="10">
        <v>5.7764385000000003</v>
      </c>
      <c r="S119" s="59">
        <v>16</v>
      </c>
      <c r="T119" s="10">
        <v>4.9601927549999996</v>
      </c>
      <c r="U119" s="10">
        <v>6.0440103189999999</v>
      </c>
      <c r="V119" s="10">
        <v>5.9527090549999997</v>
      </c>
      <c r="W119" s="10">
        <v>4.9904893670000003</v>
      </c>
    </row>
    <row r="120" spans="6:23" ht="16" thickBot="1" x14ac:dyDescent="0.4">
      <c r="F120" s="20"/>
      <c r="G120" s="24"/>
      <c r="H120" s="4">
        <v>64</v>
      </c>
      <c r="I120" s="4">
        <v>12854273</v>
      </c>
      <c r="J120" s="4">
        <f t="shared" si="16"/>
        <v>7.2469894641260533</v>
      </c>
      <c r="M120" s="20"/>
      <c r="N120" s="24"/>
      <c r="O120" s="4">
        <v>64</v>
      </c>
      <c r="P120" s="10">
        <v>7.2469894640000003</v>
      </c>
      <c r="S120" s="59">
        <v>32</v>
      </c>
      <c r="T120" s="10">
        <v>5.7764385000000003</v>
      </c>
      <c r="U120" s="10">
        <v>7.1026749389999999</v>
      </c>
      <c r="V120" s="10">
        <v>7.282413697</v>
      </c>
      <c r="W120" s="10">
        <v>8.2610580819999999</v>
      </c>
    </row>
    <row r="121" spans="6:23" ht="16" thickBot="1" x14ac:dyDescent="0.4">
      <c r="F121" s="20"/>
      <c r="G121" s="22">
        <v>16</v>
      </c>
      <c r="H121" s="4">
        <v>1</v>
      </c>
      <c r="I121" s="4">
        <v>371896078</v>
      </c>
      <c r="J121" s="4">
        <f>$C$19/I121</f>
        <v>0.98796496315833693</v>
      </c>
      <c r="M121" s="20"/>
      <c r="N121" s="22">
        <v>16</v>
      </c>
      <c r="O121" s="4">
        <v>1</v>
      </c>
      <c r="P121" s="10">
        <v>0.98796496300000003</v>
      </c>
      <c r="S121" s="59">
        <v>64</v>
      </c>
      <c r="T121" s="10">
        <v>7.2469894640000003</v>
      </c>
      <c r="U121" s="10">
        <v>7.7020332009999999</v>
      </c>
      <c r="V121" s="10">
        <v>6.1813524810000002</v>
      </c>
      <c r="W121" s="10">
        <v>6.0779113919999999</v>
      </c>
    </row>
    <row r="122" spans="6:23" ht="16" thickBot="1" x14ac:dyDescent="0.4">
      <c r="F122" s="20"/>
      <c r="G122" s="23"/>
      <c r="H122" s="4">
        <v>2</v>
      </c>
      <c r="I122" s="4">
        <v>340282694</v>
      </c>
      <c r="J122" s="4">
        <f t="shared" ref="J122:J127" si="17">$C$19/I122</f>
        <v>1.0797501650201464</v>
      </c>
      <c r="M122" s="20"/>
      <c r="N122" s="23"/>
      <c r="O122" s="4">
        <v>2</v>
      </c>
      <c r="P122" s="10">
        <v>1.0797501650000001</v>
      </c>
    </row>
    <row r="123" spans="6:23" ht="16" thickBot="1" x14ac:dyDescent="0.4">
      <c r="F123" s="20"/>
      <c r="G123" s="23"/>
      <c r="H123" s="4">
        <v>4</v>
      </c>
      <c r="I123" s="4">
        <v>175865105</v>
      </c>
      <c r="J123" s="4">
        <f t="shared" si="17"/>
        <v>2.0892165901814348</v>
      </c>
      <c r="M123" s="20"/>
      <c r="N123" s="23"/>
      <c r="O123" s="4">
        <v>4</v>
      </c>
      <c r="P123" s="10">
        <v>2.0892165899999999</v>
      </c>
    </row>
    <row r="124" spans="6:23" ht="16" thickBot="1" x14ac:dyDescent="0.4">
      <c r="F124" s="20"/>
      <c r="G124" s="23"/>
      <c r="H124" s="4">
        <v>8</v>
      </c>
      <c r="I124" s="4">
        <v>105586543</v>
      </c>
      <c r="J124" s="4">
        <f t="shared" si="17"/>
        <v>3.479802298290986</v>
      </c>
      <c r="M124" s="20"/>
      <c r="N124" s="23"/>
      <c r="O124" s="4">
        <v>8</v>
      </c>
      <c r="P124" s="10">
        <v>3.4798022980000001</v>
      </c>
    </row>
    <row r="125" spans="6:23" ht="16" thickBot="1" x14ac:dyDescent="0.4">
      <c r="F125" s="20"/>
      <c r="G125" s="23"/>
      <c r="H125" s="4">
        <v>16</v>
      </c>
      <c r="I125" s="4">
        <v>60790812</v>
      </c>
      <c r="J125" s="4">
        <f t="shared" si="17"/>
        <v>6.0440103185330045</v>
      </c>
      <c r="M125" s="20"/>
      <c r="N125" s="23"/>
      <c r="O125" s="4">
        <v>16</v>
      </c>
      <c r="P125" s="10">
        <v>6.0440103189999999</v>
      </c>
    </row>
    <row r="126" spans="6:23" ht="16" thickBot="1" x14ac:dyDescent="0.4">
      <c r="F126" s="20"/>
      <c r="G126" s="23"/>
      <c r="H126" s="4">
        <v>32</v>
      </c>
      <c r="I126" s="4">
        <v>51729848</v>
      </c>
      <c r="J126" s="4">
        <f t="shared" si="17"/>
        <v>7.1026749392343085</v>
      </c>
      <c r="M126" s="20"/>
      <c r="N126" s="23"/>
      <c r="O126" s="4">
        <v>32</v>
      </c>
      <c r="P126" s="10">
        <v>7.1026749389999999</v>
      </c>
    </row>
    <row r="127" spans="6:23" ht="16" thickBot="1" x14ac:dyDescent="0.4">
      <c r="F127" s="20"/>
      <c r="G127" s="24"/>
      <c r="H127" s="4">
        <v>64</v>
      </c>
      <c r="I127" s="4">
        <v>47704325</v>
      </c>
      <c r="J127" s="4">
        <f t="shared" si="17"/>
        <v>7.7020332013921173</v>
      </c>
      <c r="M127" s="20"/>
      <c r="N127" s="24"/>
      <c r="O127" s="4">
        <v>64</v>
      </c>
      <c r="P127" s="10">
        <v>7.7020332009999999</v>
      </c>
    </row>
    <row r="128" spans="6:23" ht="16" thickBot="1" x14ac:dyDescent="0.4">
      <c r="F128" s="20"/>
      <c r="G128" s="22">
        <v>64</v>
      </c>
      <c r="H128" s="4">
        <v>1</v>
      </c>
      <c r="I128" s="4">
        <v>1481812621</v>
      </c>
      <c r="J128" s="4">
        <f>$C$20/I128</f>
        <v>0.99500433462700277</v>
      </c>
      <c r="M128" s="20"/>
      <c r="N128" s="22">
        <v>64</v>
      </c>
      <c r="O128" s="4">
        <v>1</v>
      </c>
      <c r="P128" s="10">
        <v>0.99500433499999996</v>
      </c>
    </row>
    <row r="129" spans="6:16" ht="16" thickBot="1" x14ac:dyDescent="0.4">
      <c r="F129" s="20"/>
      <c r="G129" s="23"/>
      <c r="H129" s="4">
        <v>2</v>
      </c>
      <c r="I129" s="4">
        <v>1953530325</v>
      </c>
      <c r="J129" s="4">
        <f t="shared" ref="J129:J134" si="18">$C$20/I129</f>
        <v>0.75474128153091247</v>
      </c>
      <c r="M129" s="20"/>
      <c r="N129" s="23"/>
      <c r="O129" s="4">
        <v>2</v>
      </c>
      <c r="P129" s="10">
        <v>0.75474128200000001</v>
      </c>
    </row>
    <row r="130" spans="6:16" ht="16" thickBot="1" x14ac:dyDescent="0.4">
      <c r="F130" s="20"/>
      <c r="G130" s="23"/>
      <c r="H130" s="4">
        <v>4</v>
      </c>
      <c r="I130" s="4">
        <v>1194222740</v>
      </c>
      <c r="J130" s="4">
        <f t="shared" si="18"/>
        <v>1.2346189128838729</v>
      </c>
      <c r="M130" s="20"/>
      <c r="N130" s="23"/>
      <c r="O130" s="4">
        <v>4</v>
      </c>
      <c r="P130" s="10">
        <v>1.234618913</v>
      </c>
    </row>
    <row r="131" spans="6:16" ht="16" thickBot="1" x14ac:dyDescent="0.4">
      <c r="F131" s="20"/>
      <c r="G131" s="23"/>
      <c r="H131" s="4">
        <v>8</v>
      </c>
      <c r="I131" s="4">
        <v>488668882</v>
      </c>
      <c r="J131" s="4">
        <f t="shared" si="18"/>
        <v>3.0171963783853131</v>
      </c>
      <c r="M131" s="20"/>
      <c r="N131" s="23"/>
      <c r="O131" s="4">
        <v>8</v>
      </c>
      <c r="P131" s="10">
        <v>3.017196378</v>
      </c>
    </row>
    <row r="132" spans="6:16" ht="16" thickBot="1" x14ac:dyDescent="0.4">
      <c r="F132" s="20"/>
      <c r="G132" s="23"/>
      <c r="H132" s="4">
        <v>16</v>
      </c>
      <c r="I132" s="4">
        <v>247687224</v>
      </c>
      <c r="J132" s="4">
        <f t="shared" si="18"/>
        <v>5.9527090545453403</v>
      </c>
      <c r="M132" s="20"/>
      <c r="N132" s="23"/>
      <c r="O132" s="4">
        <v>16</v>
      </c>
      <c r="P132" s="10">
        <v>5.9527090549999997</v>
      </c>
    </row>
    <row r="133" spans="6:16" ht="16" thickBot="1" x14ac:dyDescent="0.4">
      <c r="F133" s="20"/>
      <c r="G133" s="23"/>
      <c r="H133" s="4">
        <v>32</v>
      </c>
      <c r="I133" s="4">
        <v>202461717</v>
      </c>
      <c r="J133" s="4">
        <f t="shared" si="18"/>
        <v>7.2824136970052464</v>
      </c>
      <c r="M133" s="20"/>
      <c r="N133" s="23"/>
      <c r="O133" s="4">
        <v>32</v>
      </c>
      <c r="P133" s="10">
        <v>7.282413697</v>
      </c>
    </row>
    <row r="134" spans="6:16" ht="16" thickBot="1" x14ac:dyDescent="0.4">
      <c r="F134" s="20"/>
      <c r="G134" s="24"/>
      <c r="H134" s="4">
        <v>64</v>
      </c>
      <c r="I134" s="4">
        <v>238525466</v>
      </c>
      <c r="J134" s="4">
        <f t="shared" si="18"/>
        <v>6.1813524808290286</v>
      </c>
      <c r="M134" s="20"/>
      <c r="N134" s="24"/>
      <c r="O134" s="4">
        <v>64</v>
      </c>
      <c r="P134" s="10">
        <v>6.1813524810000002</v>
      </c>
    </row>
    <row r="135" spans="6:16" ht="16" thickBot="1" x14ac:dyDescent="0.4">
      <c r="F135" s="20"/>
      <c r="G135" s="22">
        <v>256</v>
      </c>
      <c r="H135" s="4">
        <v>1</v>
      </c>
      <c r="I135" s="4">
        <v>5944182526</v>
      </c>
      <c r="J135" s="4">
        <f>$C$21/I135</f>
        <v>0.98645907109212483</v>
      </c>
      <c r="M135" s="20"/>
      <c r="N135" s="22">
        <v>256</v>
      </c>
      <c r="O135" s="4">
        <v>1</v>
      </c>
      <c r="P135" s="10">
        <v>0.98645907099999997</v>
      </c>
    </row>
    <row r="136" spans="6:16" ht="16" thickBot="1" x14ac:dyDescent="0.4">
      <c r="F136" s="20"/>
      <c r="G136" s="23"/>
      <c r="H136" s="4">
        <v>2</v>
      </c>
      <c r="I136" s="4">
        <v>11053869200</v>
      </c>
      <c r="J136" s="4">
        <f t="shared" ref="J136:J141" si="19">$C$21/I136</f>
        <v>0.53046518525838893</v>
      </c>
      <c r="M136" s="20"/>
      <c r="N136" s="23"/>
      <c r="O136" s="4">
        <v>2</v>
      </c>
      <c r="P136" s="10">
        <v>0.53046518499999995</v>
      </c>
    </row>
    <row r="137" spans="6:16" ht="16" thickBot="1" x14ac:dyDescent="0.4">
      <c r="F137" s="20"/>
      <c r="G137" s="23"/>
      <c r="H137" s="4">
        <v>4</v>
      </c>
      <c r="I137" s="4">
        <v>5604961854</v>
      </c>
      <c r="J137" s="4">
        <f t="shared" si="19"/>
        <v>1.0461610490382474</v>
      </c>
      <c r="M137" s="20"/>
      <c r="N137" s="23"/>
      <c r="O137" s="4">
        <v>4</v>
      </c>
      <c r="P137" s="10">
        <v>1.046161049</v>
      </c>
    </row>
    <row r="138" spans="6:16" ht="16" thickBot="1" x14ac:dyDescent="0.4">
      <c r="F138" s="20"/>
      <c r="G138" s="23"/>
      <c r="H138" s="4">
        <v>8</v>
      </c>
      <c r="I138" s="4">
        <v>2851259260</v>
      </c>
      <c r="J138" s="4">
        <f t="shared" si="19"/>
        <v>2.0565273930929733</v>
      </c>
      <c r="M138" s="20"/>
      <c r="N138" s="23"/>
      <c r="O138" s="4">
        <v>8</v>
      </c>
      <c r="P138" s="10">
        <v>2.0565273930000001</v>
      </c>
    </row>
    <row r="139" spans="6:16" ht="16" thickBot="1" x14ac:dyDescent="0.4">
      <c r="F139" s="20"/>
      <c r="G139" s="23"/>
      <c r="H139" s="4">
        <v>16</v>
      </c>
      <c r="I139" s="4">
        <v>1174973503</v>
      </c>
      <c r="J139" s="4">
        <f t="shared" si="19"/>
        <v>4.9904893668057468</v>
      </c>
      <c r="M139" s="20"/>
      <c r="N139" s="23"/>
      <c r="O139" s="4">
        <v>16</v>
      </c>
      <c r="P139" s="10">
        <v>4.9904893670000003</v>
      </c>
    </row>
    <row r="140" spans="6:16" ht="16" thickBot="1" x14ac:dyDescent="0.4">
      <c r="F140" s="20"/>
      <c r="G140" s="23"/>
      <c r="H140" s="4">
        <v>32</v>
      </c>
      <c r="I140" s="4">
        <v>709799243</v>
      </c>
      <c r="J140" s="4">
        <f t="shared" si="19"/>
        <v>8.2610580820244692</v>
      </c>
      <c r="M140" s="20"/>
      <c r="N140" s="23"/>
      <c r="O140" s="4">
        <v>32</v>
      </c>
      <c r="P140" s="10">
        <v>8.2610580819999999</v>
      </c>
    </row>
    <row r="141" spans="6:16" ht="16" thickBot="1" x14ac:dyDescent="0.4">
      <c r="F141" s="21"/>
      <c r="G141" s="24"/>
      <c r="H141" s="4">
        <v>64</v>
      </c>
      <c r="I141" s="4">
        <v>964754567</v>
      </c>
      <c r="J141" s="4">
        <f t="shared" si="19"/>
        <v>6.0779113917374179</v>
      </c>
      <c r="M141" s="21"/>
      <c r="N141" s="24"/>
      <c r="O141" s="4">
        <v>64</v>
      </c>
      <c r="P141" s="10">
        <v>6.0779113919999999</v>
      </c>
    </row>
  </sheetData>
  <mergeCells count="55">
    <mergeCell ref="M114:M141"/>
    <mergeCell ref="N114:N120"/>
    <mergeCell ref="N121:N127"/>
    <mergeCell ref="N128:N134"/>
    <mergeCell ref="N135:N141"/>
    <mergeCell ref="M86:M113"/>
    <mergeCell ref="N86:N92"/>
    <mergeCell ref="N93:N99"/>
    <mergeCell ref="N100:N106"/>
    <mergeCell ref="N107:N113"/>
    <mergeCell ref="M58:M85"/>
    <mergeCell ref="N58:N64"/>
    <mergeCell ref="N65:N71"/>
    <mergeCell ref="N72:N78"/>
    <mergeCell ref="N79:N85"/>
    <mergeCell ref="M30:M57"/>
    <mergeCell ref="N30:N36"/>
    <mergeCell ref="N37:N43"/>
    <mergeCell ref="N44:N50"/>
    <mergeCell ref="N51:N57"/>
    <mergeCell ref="M2:M29"/>
    <mergeCell ref="N2:N8"/>
    <mergeCell ref="N9:N15"/>
    <mergeCell ref="N16:N22"/>
    <mergeCell ref="N23:N29"/>
    <mergeCell ref="A2:A5"/>
    <mergeCell ref="A6:A9"/>
    <mergeCell ref="A10:A13"/>
    <mergeCell ref="A14:A17"/>
    <mergeCell ref="A18:A21"/>
    <mergeCell ref="G2:G8"/>
    <mergeCell ref="G9:G15"/>
    <mergeCell ref="G16:G22"/>
    <mergeCell ref="G23:G29"/>
    <mergeCell ref="F30:F57"/>
    <mergeCell ref="G30:G36"/>
    <mergeCell ref="G37:G43"/>
    <mergeCell ref="G44:G50"/>
    <mergeCell ref="G51:G57"/>
    <mergeCell ref="F2:F29"/>
    <mergeCell ref="F86:F113"/>
    <mergeCell ref="G86:G92"/>
    <mergeCell ref="G93:G99"/>
    <mergeCell ref="G100:G106"/>
    <mergeCell ref="G107:G113"/>
    <mergeCell ref="F58:F85"/>
    <mergeCell ref="G58:G64"/>
    <mergeCell ref="G65:G71"/>
    <mergeCell ref="G72:G78"/>
    <mergeCell ref="G79:G85"/>
    <mergeCell ref="F114:F141"/>
    <mergeCell ref="G114:G120"/>
    <mergeCell ref="G121:G127"/>
    <mergeCell ref="G128:G134"/>
    <mergeCell ref="G135:G1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</dc:creator>
  <cp:lastModifiedBy>asus vivo</cp:lastModifiedBy>
  <dcterms:created xsi:type="dcterms:W3CDTF">2026-05-05T18:06:36Z</dcterms:created>
  <dcterms:modified xsi:type="dcterms:W3CDTF">2026-05-07T21:13:47Z</dcterms:modified>
</cp:coreProperties>
</file>