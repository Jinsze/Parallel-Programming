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v\Downloads\"/>
    </mc:Choice>
  </mc:AlternateContent>
  <xr:revisionPtr revIDLastSave="0" documentId="8_{086C84DD-9AD3-4A89-B5AD-649A7F2119D2}" xr6:coauthVersionLast="47" xr6:coauthVersionMax="47" xr10:uidLastSave="{00000000-0000-0000-0000-000000000000}"/>
  <bookViews>
    <workbookView xWindow="-110" yWindow="-110" windowWidth="19420" windowHeight="10300" activeTab="1" xr2:uid="{55A91849-5A18-4F0F-ABBB-BED582D48F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22" i="2" l="1"/>
  <c r="L123" i="2"/>
  <c r="L124" i="2"/>
  <c r="L125" i="2"/>
  <c r="L126" i="2"/>
  <c r="L127" i="2"/>
  <c r="L121" i="2"/>
  <c r="L115" i="2"/>
  <c r="L116" i="2"/>
  <c r="L117" i="2"/>
  <c r="L118" i="2"/>
  <c r="L119" i="2"/>
  <c r="L120" i="2"/>
  <c r="L114" i="2"/>
  <c r="L108" i="2"/>
  <c r="L109" i="2"/>
  <c r="L110" i="2"/>
  <c r="L111" i="2"/>
  <c r="L112" i="2"/>
  <c r="L113" i="2"/>
  <c r="L107" i="2"/>
  <c r="L101" i="2"/>
  <c r="L102" i="2"/>
  <c r="L103" i="2"/>
  <c r="L104" i="2"/>
  <c r="L105" i="2"/>
  <c r="L106" i="2"/>
  <c r="L100" i="2"/>
  <c r="L90" i="2"/>
  <c r="L91" i="2"/>
  <c r="L92" i="2"/>
  <c r="L93" i="2"/>
  <c r="L94" i="2"/>
  <c r="L95" i="2"/>
  <c r="L89" i="2"/>
  <c r="L83" i="2"/>
  <c r="L84" i="2"/>
  <c r="L85" i="2"/>
  <c r="L86" i="2"/>
  <c r="L87" i="2"/>
  <c r="L88" i="2"/>
  <c r="L82" i="2"/>
  <c r="L76" i="2"/>
  <c r="L77" i="2"/>
  <c r="L78" i="2"/>
  <c r="L79" i="2"/>
  <c r="L80" i="2"/>
  <c r="L81" i="2"/>
  <c r="L75" i="2"/>
  <c r="L74" i="2"/>
  <c r="L69" i="2"/>
  <c r="L70" i="2"/>
  <c r="L71" i="2"/>
  <c r="L72" i="2"/>
  <c r="L73" i="2"/>
  <c r="L68" i="2"/>
  <c r="L58" i="2"/>
  <c r="L59" i="2"/>
  <c r="L60" i="2"/>
  <c r="L61" i="2"/>
  <c r="L62" i="2"/>
  <c r="L63" i="2"/>
  <c r="L57" i="2"/>
  <c r="L56" i="2"/>
  <c r="L51" i="2"/>
  <c r="L52" i="2"/>
  <c r="L53" i="2"/>
  <c r="L54" i="2"/>
  <c r="L55" i="2"/>
  <c r="L50" i="2"/>
  <c r="L44" i="2"/>
  <c r="L45" i="2"/>
  <c r="L46" i="2"/>
  <c r="L47" i="2"/>
  <c r="L48" i="2"/>
  <c r="L49" i="2"/>
  <c r="L43" i="2"/>
  <c r="L42" i="2"/>
  <c r="L37" i="2"/>
  <c r="L38" i="2"/>
  <c r="L39" i="2"/>
  <c r="L40" i="2"/>
  <c r="L41" i="2"/>
  <c r="L36" i="2"/>
  <c r="L26" i="2"/>
  <c r="L27" i="2"/>
  <c r="L28" i="2"/>
  <c r="L29" i="2"/>
  <c r="L30" i="2"/>
  <c r="L31" i="2"/>
  <c r="L25" i="2"/>
  <c r="L19" i="2"/>
  <c r="L20" i="2"/>
  <c r="L21" i="2"/>
  <c r="L22" i="2"/>
  <c r="L23" i="2"/>
  <c r="L24" i="2"/>
  <c r="L18" i="2"/>
  <c r="L12" i="2"/>
  <c r="L13" i="2"/>
  <c r="L14" i="2"/>
  <c r="L15" i="2"/>
  <c r="L16" i="2"/>
  <c r="L17" i="2"/>
  <c r="L11" i="2"/>
  <c r="L5" i="2"/>
  <c r="L6" i="2"/>
  <c r="L7" i="2"/>
  <c r="L8" i="2"/>
  <c r="L9" i="2"/>
  <c r="L10" i="2"/>
  <c r="L4" i="2"/>
  <c r="I123" i="1"/>
  <c r="I124" i="1"/>
  <c r="I125" i="1"/>
  <c r="I126" i="1"/>
  <c r="I127" i="1"/>
  <c r="I128" i="1"/>
  <c r="I122" i="1"/>
  <c r="I116" i="1"/>
  <c r="I117" i="1"/>
  <c r="I118" i="1"/>
  <c r="I119" i="1"/>
  <c r="I120" i="1"/>
  <c r="I121" i="1"/>
  <c r="I115" i="1"/>
  <c r="I109" i="1"/>
  <c r="I110" i="1"/>
  <c r="I111" i="1"/>
  <c r="I112" i="1"/>
  <c r="I113" i="1"/>
  <c r="I114" i="1"/>
  <c r="I108" i="1"/>
  <c r="I102" i="1"/>
  <c r="I103" i="1"/>
  <c r="I104" i="1"/>
  <c r="I105" i="1"/>
  <c r="I106" i="1"/>
  <c r="I107" i="1"/>
  <c r="I101" i="1"/>
  <c r="I90" i="1"/>
  <c r="I91" i="1"/>
  <c r="I92" i="1"/>
  <c r="I93" i="1"/>
  <c r="I94" i="1"/>
  <c r="I95" i="1"/>
  <c r="I89" i="1"/>
  <c r="I83" i="1"/>
  <c r="I84" i="1"/>
  <c r="I85" i="1"/>
  <c r="I86" i="1"/>
  <c r="I87" i="1"/>
  <c r="I88" i="1"/>
  <c r="I82" i="1"/>
  <c r="I76" i="1"/>
  <c r="I77" i="1"/>
  <c r="I78" i="1"/>
  <c r="I79" i="1"/>
  <c r="I80" i="1"/>
  <c r="I81" i="1"/>
  <c r="I75" i="1"/>
  <c r="I74" i="1"/>
  <c r="I69" i="1"/>
  <c r="I70" i="1"/>
  <c r="I71" i="1"/>
  <c r="I72" i="1"/>
  <c r="I73" i="1"/>
  <c r="I68" i="1"/>
  <c r="I58" i="1"/>
  <c r="I59" i="1"/>
  <c r="I60" i="1"/>
  <c r="I61" i="1"/>
  <c r="I62" i="1"/>
  <c r="I63" i="1"/>
  <c r="I57" i="1"/>
  <c r="I51" i="1"/>
  <c r="I52" i="1"/>
  <c r="I53" i="1"/>
  <c r="I54" i="1"/>
  <c r="I55" i="1"/>
  <c r="I56" i="1"/>
  <c r="I50" i="1"/>
  <c r="I44" i="1"/>
  <c r="I45" i="1"/>
  <c r="I46" i="1"/>
  <c r="I47" i="1"/>
  <c r="I48" i="1"/>
  <c r="I49" i="1"/>
  <c r="I43" i="1"/>
  <c r="I37" i="1"/>
  <c r="I38" i="1"/>
  <c r="I39" i="1"/>
  <c r="I40" i="1"/>
  <c r="I41" i="1"/>
  <c r="I42" i="1"/>
  <c r="I36" i="1"/>
  <c r="I26" i="1"/>
  <c r="I27" i="1"/>
  <c r="I28" i="1"/>
  <c r="I29" i="1"/>
  <c r="I30" i="1"/>
  <c r="I31" i="1"/>
  <c r="I25" i="1"/>
  <c r="I19" i="1"/>
  <c r="I20" i="1"/>
  <c r="I21" i="1"/>
  <c r="I22" i="1"/>
  <c r="I23" i="1"/>
  <c r="I24" i="1"/>
  <c r="I18" i="1"/>
  <c r="I12" i="1"/>
  <c r="I13" i="1"/>
  <c r="I14" i="1"/>
  <c r="I15" i="1"/>
  <c r="I16" i="1"/>
  <c r="I17" i="1"/>
  <c r="I11" i="1"/>
  <c r="I5" i="1"/>
  <c r="I6" i="1"/>
  <c r="I7" i="1"/>
  <c r="I8" i="1"/>
  <c r="I9" i="1"/>
  <c r="I10" i="1"/>
  <c r="I4" i="1"/>
</calcChain>
</file>

<file path=xl/sharedStrings.xml><?xml version="1.0" encoding="utf-8"?>
<sst xmlns="http://schemas.openxmlformats.org/spreadsheetml/2006/main" count="91" uniqueCount="22">
  <si>
    <t>Matrix Dimension</t>
  </si>
  <si>
    <t>Step Size</t>
  </si>
  <si>
    <t>Execution Time (s)</t>
  </si>
  <si>
    <t>Matrix Size: 1024</t>
  </si>
  <si>
    <t>Process Number</t>
  </si>
  <si>
    <t>Execution Time</t>
  </si>
  <si>
    <t>Speed Up</t>
  </si>
  <si>
    <t>Matrix Size: 2048</t>
  </si>
  <si>
    <t>Matrix Size: 4096</t>
  </si>
  <si>
    <t>Matrix Size: 8192</t>
  </si>
  <si>
    <t>Step Size 50</t>
  </si>
  <si>
    <t>Step Size 100</t>
  </si>
  <si>
    <t>Step Size 200</t>
  </si>
  <si>
    <t>Step Size 500</t>
  </si>
  <si>
    <t>Number of Particles</t>
  </si>
  <si>
    <t>Time-step Length</t>
  </si>
  <si>
    <t>Number of Time-steps</t>
  </si>
  <si>
    <t>Number of Particles: 128</t>
  </si>
  <si>
    <t>Number of time-steps</t>
  </si>
  <si>
    <t>Number of Particles: 256</t>
  </si>
  <si>
    <t>Number of Particles: 512</t>
  </si>
  <si>
    <t>Number of Particles: 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</si>
</sst>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70C0"/>
      <name val="Times New Roman"/>
      <family val="1"/>
    </font>
    <font>
      <sz val="12"/>
      <color rgb="FF2F5496"/>
      <name val="Times New Roman"/>
      <family val="1"/>
    </font>
    <font>
      <sz val="10.5"/>
      <color rgb="FF0070C0"/>
      <name val="DengXi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/>
    </xf>
    <xf numFmtId="0" fontId="0" fillId="0" borderId="7" xfId="0" applyBorder="1"/>
    <xf numFmtId="0" fontId="3" fillId="0" borderId="1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2" fillId="0" borderId="7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/>
              <a:t>Speed</a:t>
            </a:r>
            <a:r>
              <a:rPr lang="en-MY" sz="1200" baseline="0"/>
              <a:t> Up vs Number of Processes (Matrix Size = 1024)</a:t>
            </a:r>
            <a:endParaRPr lang="en-MY" sz="1200"/>
          </a:p>
        </c:rich>
      </c:tx>
      <c:layout>
        <c:manualLayout>
          <c:xMode val="edge"/>
          <c:yMode val="edge"/>
          <c:x val="0.16275337227022774"/>
          <c:y val="3.6090302900178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Sheet1!$M$3</c:f>
              <c:strCache>
                <c:ptCount val="1"/>
                <c:pt idx="0">
                  <c:v>Step Size 50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Sheet1!$L$4:$L$10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Sheet1!$M$4:$M$10</c:f>
              <c:numCache>
                <c:formatCode>General</c:formatCode>
                <c:ptCount val="7"/>
                <c:pt idx="0">
                  <c:v>1.0041258799999999</c:v>
                </c:pt>
                <c:pt idx="1">
                  <c:v>2.0261181850000001</c:v>
                </c:pt>
                <c:pt idx="2">
                  <c:v>3.0921773789999998</c:v>
                </c:pt>
                <c:pt idx="3">
                  <c:v>4.9509373749999996</c:v>
                </c:pt>
                <c:pt idx="4">
                  <c:v>5.3685121110000003</c:v>
                </c:pt>
                <c:pt idx="5">
                  <c:v>11.161870499999999</c:v>
                </c:pt>
                <c:pt idx="6">
                  <c:v>9.1466470149999992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0-4EE9-973C-9AC5C4D718A8}"/>
            </c:ext>
          </c:extLst>
        </c:ser>
        <c:ser>
          <c:idx val="2"/>
          <c:order val="2"/>
          <c:tx>
            <c:strRef>
              <c:f>Sheet1!$N$3</c:f>
              <c:strCache>
                <c:ptCount val="1"/>
                <c:pt idx="0">
                  <c:v>Step Size 100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Sheet1!$L$4:$L$10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Sheet1!$N$4:$N$10</c:f>
              <c:numCache>
                <c:formatCode>General</c:formatCode>
                <c:ptCount val="7"/>
                <c:pt idx="0">
                  <c:v>1.0040521920000001</c:v>
                </c:pt>
                <c:pt idx="1">
                  <c:v>2.0210440460000001</c:v>
                </c:pt>
                <c:pt idx="2">
                  <c:v>3.1128140700000002</c:v>
                </c:pt>
                <c:pt idx="3">
                  <c:v>5.621143376</c:v>
                </c:pt>
                <c:pt idx="4">
                  <c:v>6.6967567570000002</c:v>
                </c:pt>
                <c:pt idx="5">
                  <c:v>8.5382494829999995</c:v>
                </c:pt>
                <c:pt idx="6">
                  <c:v>5.402965547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10-4EE9-973C-9AC5C4D718A8}"/>
            </c:ext>
          </c:extLst>
        </c:ser>
        <c:ser>
          <c:idx val="3"/>
          <c:order val="3"/>
          <c:tx>
            <c:strRef>
              <c:f>Sheet1!$O$3</c:f>
              <c:strCache>
                <c:ptCount val="1"/>
                <c:pt idx="0">
                  <c:v>Step Size 200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Sheet1!$L$4:$L$10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Sheet1!$O$4:$O$10</c:f>
              <c:numCache>
                <c:formatCode>General</c:formatCode>
                <c:ptCount val="7"/>
                <c:pt idx="0">
                  <c:v>1.0045388230000001</c:v>
                </c:pt>
                <c:pt idx="1">
                  <c:v>2.0261566129999999</c:v>
                </c:pt>
                <c:pt idx="2">
                  <c:v>3.8877038900000001</c:v>
                </c:pt>
                <c:pt idx="3">
                  <c:v>6.1144548590000003</c:v>
                </c:pt>
                <c:pt idx="4">
                  <c:v>8.1485864560000003</c:v>
                </c:pt>
                <c:pt idx="5">
                  <c:v>10.268434129999999</c:v>
                </c:pt>
                <c:pt idx="6">
                  <c:v>6.246975806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10-4EE9-973C-9AC5C4D718A8}"/>
            </c:ext>
          </c:extLst>
        </c:ser>
        <c:ser>
          <c:idx val="4"/>
          <c:order val="4"/>
          <c:tx>
            <c:strRef>
              <c:f>Sheet1!$P$3</c:f>
              <c:strCache>
                <c:ptCount val="1"/>
                <c:pt idx="0">
                  <c:v>Step Size 500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Sheet1!$L$4:$L$10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Sheet1!$P$4:$P$10</c:f>
              <c:numCache>
                <c:formatCode>General</c:formatCode>
                <c:ptCount val="7"/>
                <c:pt idx="0">
                  <c:v>1.005189329</c:v>
                </c:pt>
                <c:pt idx="1">
                  <c:v>2.0283049740000001</c:v>
                </c:pt>
                <c:pt idx="2">
                  <c:v>2.9814814809999999</c:v>
                </c:pt>
                <c:pt idx="3">
                  <c:v>4.7352941179999997</c:v>
                </c:pt>
                <c:pt idx="4">
                  <c:v>7.1329113919999996</c:v>
                </c:pt>
                <c:pt idx="5">
                  <c:v>8.6270006959999996</c:v>
                </c:pt>
                <c:pt idx="6">
                  <c:v>6.5662076269999998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10-4EE9-973C-9AC5C4D71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462176"/>
        <c:axId val="19664626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Sheet1!$L$3</c15:sqref>
                        </c15:formulaRef>
                      </c:ext>
                    </c:extLst>
                    <c:strCache>
                      <c:ptCount val="1"/>
                      <c:pt idx="0">
                        <c:v>Process Number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Sheet1!$L$4:$L$10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Sheet1!$L$4:$L$10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910-4EE9-973C-9AC5C4D718A8}"/>
                  </c:ext>
                </c:extLst>
              </c15:ser>
            </c15:filteredLineSeries>
          </c:ext>
        </c:extLst>
      </c:lineChart>
      <c:catAx>
        <c:axId val="1966462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Process</a:t>
                </a:r>
                <a:r>
                  <a:rPr lang="en-MY" baseline="0"/>
                  <a:t> Number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462656"/>
        <c:crosses val="autoZero"/>
        <c:auto val="1"/>
        <c:lblAlgn val="ctr"/>
        <c:lblOffset val="100"/>
        <c:noMultiLvlLbl val="0"/>
      </c:catAx>
      <c:valAx>
        <c:axId val="196646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46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Speed Up vs Number of Processes (Matrix Size = 2048)</a:t>
            </a:r>
            <a:endParaRPr lang="en-MY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Sheet1!$M$35</c:f>
              <c:strCache>
                <c:ptCount val="1"/>
                <c:pt idx="0">
                  <c:v>Step Size 50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Sheet1!$L$36:$L$42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Sheet1!$M$36:$M$42</c:f>
              <c:numCache>
                <c:formatCode>General</c:formatCode>
                <c:ptCount val="7"/>
                <c:pt idx="0">
                  <c:v>1.0142220129999999</c:v>
                </c:pt>
                <c:pt idx="1">
                  <c:v>2.0273687520000001</c:v>
                </c:pt>
                <c:pt idx="2">
                  <c:v>4.2068768839999997</c:v>
                </c:pt>
                <c:pt idx="3">
                  <c:v>9.0739894549999995</c:v>
                </c:pt>
                <c:pt idx="4">
                  <c:v>14.93520393</c:v>
                </c:pt>
                <c:pt idx="5">
                  <c:v>25.8155</c:v>
                </c:pt>
                <c:pt idx="6">
                  <c:v>13.191364330000001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12-42ED-B81F-F7FBD7C16E4D}"/>
            </c:ext>
          </c:extLst>
        </c:ser>
        <c:ser>
          <c:idx val="2"/>
          <c:order val="2"/>
          <c:tx>
            <c:strRef>
              <c:f>Sheet1!$N$35</c:f>
              <c:strCache>
                <c:ptCount val="1"/>
                <c:pt idx="0">
                  <c:v>Step Size 100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Sheet1!$L$36:$L$42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Sheet1!$N$36:$N$42</c:f>
              <c:numCache>
                <c:formatCode>General</c:formatCode>
                <c:ptCount val="7"/>
                <c:pt idx="0">
                  <c:v>1.0105058140000001</c:v>
                </c:pt>
                <c:pt idx="1">
                  <c:v>2.016924527</c:v>
                </c:pt>
                <c:pt idx="2">
                  <c:v>4.1680597260000001</c:v>
                </c:pt>
                <c:pt idx="3">
                  <c:v>9.2646103899999996</c:v>
                </c:pt>
                <c:pt idx="4">
                  <c:v>15.35515695</c:v>
                </c:pt>
                <c:pt idx="5">
                  <c:v>21.401250000000001</c:v>
                </c:pt>
                <c:pt idx="6">
                  <c:v>17.288118480000001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12-42ED-B81F-F7FBD7C16E4D}"/>
            </c:ext>
          </c:extLst>
        </c:ser>
        <c:ser>
          <c:idx val="3"/>
          <c:order val="3"/>
          <c:tx>
            <c:strRef>
              <c:f>Sheet1!$O$35</c:f>
              <c:strCache>
                <c:ptCount val="1"/>
                <c:pt idx="0">
                  <c:v>Step Size 200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Sheet1!$L$36:$L$42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Sheet1!$O$36:$O$42</c:f>
              <c:numCache>
                <c:formatCode>General</c:formatCode>
                <c:ptCount val="7"/>
                <c:pt idx="0">
                  <c:v>1.0089222550000001</c:v>
                </c:pt>
                <c:pt idx="1">
                  <c:v>2.016101162</c:v>
                </c:pt>
                <c:pt idx="2">
                  <c:v>4.1806188930000001</c:v>
                </c:pt>
                <c:pt idx="3">
                  <c:v>9.2617716039999998</c:v>
                </c:pt>
                <c:pt idx="4">
                  <c:v>15.86464771</c:v>
                </c:pt>
                <c:pt idx="5">
                  <c:v>24.51671442</c:v>
                </c:pt>
                <c:pt idx="6">
                  <c:v>22.605900479999999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12-42ED-B81F-F7FBD7C16E4D}"/>
            </c:ext>
          </c:extLst>
        </c:ser>
        <c:ser>
          <c:idx val="4"/>
          <c:order val="4"/>
          <c:tx>
            <c:strRef>
              <c:f>Sheet1!$P$35</c:f>
              <c:strCache>
                <c:ptCount val="1"/>
                <c:pt idx="0">
                  <c:v>Step Size 500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Sheet1!$L$36:$L$42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Sheet1!$P$36:$P$42</c:f>
              <c:numCache>
                <c:formatCode>General</c:formatCode>
                <c:ptCount val="7"/>
                <c:pt idx="0">
                  <c:v>1.016729649</c:v>
                </c:pt>
                <c:pt idx="1">
                  <c:v>2.0294649169999999</c:v>
                </c:pt>
                <c:pt idx="2">
                  <c:v>4.2012036430000004</c:v>
                </c:pt>
                <c:pt idx="3">
                  <c:v>9.1901796830000002</c:v>
                </c:pt>
                <c:pt idx="4">
                  <c:v>16.32680152</c:v>
                </c:pt>
                <c:pt idx="5">
                  <c:v>16.530560000000001</c:v>
                </c:pt>
                <c:pt idx="6">
                  <c:v>20.410114579999998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12-42ED-B81F-F7FBD7C16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473696"/>
        <c:axId val="19664688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Sheet1!$L$35</c15:sqref>
                        </c15:formulaRef>
                      </c:ext>
                    </c:extLst>
                    <c:strCache>
                      <c:ptCount val="1"/>
                      <c:pt idx="0">
                        <c:v>Process Number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Sheet1!$L$36:$L$42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Sheet1!$L$36:$L$42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412-42ED-B81F-F7FBD7C16E4D}"/>
                  </c:ext>
                </c:extLst>
              </c15:ser>
            </c15:filteredLineSeries>
          </c:ext>
        </c:extLst>
      </c:lineChart>
      <c:catAx>
        <c:axId val="196647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Process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468896"/>
        <c:crosses val="autoZero"/>
        <c:auto val="1"/>
        <c:lblAlgn val="ctr"/>
        <c:lblOffset val="100"/>
        <c:noMultiLvlLbl val="0"/>
      </c:catAx>
      <c:valAx>
        <c:axId val="196646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47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Speed Up vs Number of Processes (Matrix Size = 4096)</a:t>
            </a:r>
            <a:endParaRPr lang="en-MY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Sheet1!$M$67</c:f>
              <c:strCache>
                <c:ptCount val="1"/>
                <c:pt idx="0">
                  <c:v>Step Size 50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Sheet1!$L$68:$L$74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Sheet1!$M$68:$M$74</c:f>
              <c:numCache>
                <c:formatCode>General</c:formatCode>
                <c:ptCount val="7"/>
                <c:pt idx="0">
                  <c:v>1.1345678189999999</c:v>
                </c:pt>
                <c:pt idx="1">
                  <c:v>2.2252104899999998</c:v>
                </c:pt>
                <c:pt idx="2">
                  <c:v>4.4920831459999997</c:v>
                </c:pt>
                <c:pt idx="3">
                  <c:v>8.7137814329999994</c:v>
                </c:pt>
                <c:pt idx="4">
                  <c:v>15.559555530000001</c:v>
                </c:pt>
                <c:pt idx="5">
                  <c:v>28.576918490000001</c:v>
                </c:pt>
                <c:pt idx="6">
                  <c:v>23.119243019999999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6A-4461-903B-5BE17D028C16}"/>
            </c:ext>
          </c:extLst>
        </c:ser>
        <c:ser>
          <c:idx val="2"/>
          <c:order val="2"/>
          <c:tx>
            <c:strRef>
              <c:f>Sheet1!$N$67</c:f>
              <c:strCache>
                <c:ptCount val="1"/>
                <c:pt idx="0">
                  <c:v>Step Size 100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Sheet1!$L$68:$L$74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Sheet1!$N$68:$N$74</c:f>
              <c:numCache>
                <c:formatCode>General</c:formatCode>
                <c:ptCount val="7"/>
                <c:pt idx="0">
                  <c:v>1.1340575070000001</c:v>
                </c:pt>
                <c:pt idx="1">
                  <c:v>2.2186818189999999</c:v>
                </c:pt>
                <c:pt idx="2">
                  <c:v>4.4721998689999998</c:v>
                </c:pt>
                <c:pt idx="3">
                  <c:v>8.7231976640000006</c:v>
                </c:pt>
                <c:pt idx="4">
                  <c:v>15.53683116</c:v>
                </c:pt>
                <c:pt idx="5">
                  <c:v>28.197286139999999</c:v>
                </c:pt>
                <c:pt idx="6">
                  <c:v>21.40175533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6A-4461-903B-5BE17D028C16}"/>
            </c:ext>
          </c:extLst>
        </c:ser>
        <c:ser>
          <c:idx val="3"/>
          <c:order val="3"/>
          <c:tx>
            <c:strRef>
              <c:f>Sheet1!$O$67</c:f>
              <c:strCache>
                <c:ptCount val="1"/>
                <c:pt idx="0">
                  <c:v>Step Size 200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Sheet1!$L$68:$L$74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Sheet1!$O$68:$O$74</c:f>
              <c:numCache>
                <c:formatCode>General</c:formatCode>
                <c:ptCount val="7"/>
                <c:pt idx="0">
                  <c:v>1.1336764459999999</c:v>
                </c:pt>
                <c:pt idx="1">
                  <c:v>2.2205952039999999</c:v>
                </c:pt>
                <c:pt idx="2">
                  <c:v>4.4538118930000001</c:v>
                </c:pt>
                <c:pt idx="3">
                  <c:v>8.7215268399999992</c:v>
                </c:pt>
                <c:pt idx="4">
                  <c:v>15.40716864</c:v>
                </c:pt>
                <c:pt idx="5">
                  <c:v>28.110562219999998</c:v>
                </c:pt>
                <c:pt idx="6">
                  <c:v>22.34233897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6A-4461-903B-5BE17D028C16}"/>
            </c:ext>
          </c:extLst>
        </c:ser>
        <c:ser>
          <c:idx val="4"/>
          <c:order val="4"/>
          <c:tx>
            <c:strRef>
              <c:f>Sheet1!$P$67</c:f>
              <c:strCache>
                <c:ptCount val="1"/>
                <c:pt idx="0">
                  <c:v>Step Size 500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Sheet1!$L$68:$L$74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Sheet1!$P$68:$P$74</c:f>
              <c:numCache>
                <c:formatCode>General</c:formatCode>
                <c:ptCount val="7"/>
                <c:pt idx="0">
                  <c:v>1.1331847070000001</c:v>
                </c:pt>
                <c:pt idx="1">
                  <c:v>2.2170479329999999</c:v>
                </c:pt>
                <c:pt idx="2">
                  <c:v>4.46613449</c:v>
                </c:pt>
                <c:pt idx="3">
                  <c:v>8.7122278550000001</c:v>
                </c:pt>
                <c:pt idx="4">
                  <c:v>15.515879719999999</c:v>
                </c:pt>
                <c:pt idx="5">
                  <c:v>28.3323055</c:v>
                </c:pt>
                <c:pt idx="6">
                  <c:v>23.34356068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6A-4461-903B-5BE17D028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478976"/>
        <c:axId val="19665024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Sheet1!$L$67</c15:sqref>
                        </c15:formulaRef>
                      </c:ext>
                    </c:extLst>
                    <c:strCache>
                      <c:ptCount val="1"/>
                      <c:pt idx="0">
                        <c:v>Process Number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Sheet1!$L$68:$L$74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Sheet1!$L$68:$L$74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96A-4461-903B-5BE17D028C16}"/>
                  </c:ext>
                </c:extLst>
              </c15:ser>
            </c15:filteredLineSeries>
          </c:ext>
        </c:extLst>
      </c:lineChart>
      <c:catAx>
        <c:axId val="1966478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Process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502496"/>
        <c:crosses val="autoZero"/>
        <c:auto val="1"/>
        <c:lblAlgn val="ctr"/>
        <c:lblOffset val="100"/>
        <c:noMultiLvlLbl val="0"/>
      </c:catAx>
      <c:valAx>
        <c:axId val="196650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47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Speed Up vs Number of Processes (Matrix Size = 8192)</a:t>
            </a:r>
            <a:endParaRPr lang="en-MY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Sheet1!$M$100</c:f>
              <c:strCache>
                <c:ptCount val="1"/>
                <c:pt idx="0">
                  <c:v>Step Size 50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Sheet1!$L$101:$L$107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Sheet1!$M$101:$M$107</c:f>
              <c:numCache>
                <c:formatCode>General</c:formatCode>
                <c:ptCount val="7"/>
                <c:pt idx="0">
                  <c:v>0.99597355300000001</c:v>
                </c:pt>
                <c:pt idx="1">
                  <c:v>1.953535713</c:v>
                </c:pt>
                <c:pt idx="2">
                  <c:v>4.1226513069999999</c:v>
                </c:pt>
                <c:pt idx="3">
                  <c:v>8.0807514680000008</c:v>
                </c:pt>
                <c:pt idx="4">
                  <c:v>14.18178814</c:v>
                </c:pt>
                <c:pt idx="5">
                  <c:v>15.66275007</c:v>
                </c:pt>
                <c:pt idx="6">
                  <c:v>13.225581569999999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83-461E-ABC6-82F34ED2EB59}"/>
            </c:ext>
          </c:extLst>
        </c:ser>
        <c:ser>
          <c:idx val="2"/>
          <c:order val="2"/>
          <c:tx>
            <c:strRef>
              <c:f>Sheet1!$N$100</c:f>
              <c:strCache>
                <c:ptCount val="1"/>
                <c:pt idx="0">
                  <c:v>Step Size 100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Sheet1!$L$101:$L$107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Sheet1!$N$101:$N$107</c:f>
              <c:numCache>
                <c:formatCode>General</c:formatCode>
                <c:ptCount val="7"/>
                <c:pt idx="0">
                  <c:v>0.98747195200000004</c:v>
                </c:pt>
                <c:pt idx="1">
                  <c:v>1.9392789539999999</c:v>
                </c:pt>
                <c:pt idx="2">
                  <c:v>4.0894093089999997</c:v>
                </c:pt>
                <c:pt idx="3">
                  <c:v>8.0126644720000009</c:v>
                </c:pt>
                <c:pt idx="4">
                  <c:v>14.09367851</c:v>
                </c:pt>
                <c:pt idx="5">
                  <c:v>15.605016770000001</c:v>
                </c:pt>
                <c:pt idx="6">
                  <c:v>12.67387357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83-461E-ABC6-82F34ED2EB59}"/>
            </c:ext>
          </c:extLst>
        </c:ser>
        <c:ser>
          <c:idx val="3"/>
          <c:order val="3"/>
          <c:tx>
            <c:strRef>
              <c:f>Sheet1!$O$100</c:f>
              <c:strCache>
                <c:ptCount val="1"/>
                <c:pt idx="0">
                  <c:v>Step Size 200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Sheet1!$L$101:$L$107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Sheet1!$O$101:$O$107</c:f>
              <c:numCache>
                <c:formatCode>General</c:formatCode>
                <c:ptCount val="7"/>
                <c:pt idx="0">
                  <c:v>0.97931613399999995</c:v>
                </c:pt>
                <c:pt idx="1">
                  <c:v>1.912983957</c:v>
                </c:pt>
                <c:pt idx="2">
                  <c:v>4.069422221</c:v>
                </c:pt>
                <c:pt idx="3">
                  <c:v>7.9913902229999998</c:v>
                </c:pt>
                <c:pt idx="4">
                  <c:v>14.036885180000001</c:v>
                </c:pt>
                <c:pt idx="5">
                  <c:v>15.441961729999999</c:v>
                </c:pt>
                <c:pt idx="6">
                  <c:v>14.61107007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83-461E-ABC6-82F34ED2EB59}"/>
            </c:ext>
          </c:extLst>
        </c:ser>
        <c:ser>
          <c:idx val="4"/>
          <c:order val="4"/>
          <c:tx>
            <c:strRef>
              <c:f>Sheet1!$P$100</c:f>
              <c:strCache>
                <c:ptCount val="1"/>
                <c:pt idx="0">
                  <c:v>Step Size 500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Sheet1!$L$101:$L$107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Sheet1!$P$101:$P$107</c:f>
              <c:numCache>
                <c:formatCode>General</c:formatCode>
                <c:ptCount val="7"/>
                <c:pt idx="0">
                  <c:v>0.97249686099999999</c:v>
                </c:pt>
                <c:pt idx="1">
                  <c:v>1.8906783920000001</c:v>
                </c:pt>
                <c:pt idx="2">
                  <c:v>4.0212456689999998</c:v>
                </c:pt>
                <c:pt idx="3">
                  <c:v>7.895958426</c:v>
                </c:pt>
                <c:pt idx="4">
                  <c:v>13.9140557</c:v>
                </c:pt>
                <c:pt idx="5">
                  <c:v>15.24950598</c:v>
                </c:pt>
                <c:pt idx="6">
                  <c:v>12.155189569999999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83-461E-ABC6-82F34ED2E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4456640"/>
        <c:axId val="13344614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Sheet1!$L$100</c15:sqref>
                        </c15:formulaRef>
                      </c:ext>
                    </c:extLst>
                    <c:strCache>
                      <c:ptCount val="1"/>
                      <c:pt idx="0">
                        <c:v>Process Number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Sheet1!$L$101:$L$107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Sheet1!$L$101:$L$107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883-461E-ABC6-82F34ED2EB59}"/>
                  </c:ext>
                </c:extLst>
              </c15:ser>
            </c15:filteredLineSeries>
          </c:ext>
        </c:extLst>
      </c:lineChart>
      <c:catAx>
        <c:axId val="133445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Process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61440"/>
        <c:crosses val="autoZero"/>
        <c:auto val="1"/>
        <c:lblAlgn val="ctr"/>
        <c:lblOffset val="100"/>
        <c:noMultiLvlLbl val="0"/>
      </c:catAx>
      <c:valAx>
        <c:axId val="133446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5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Speed Up vs Process Number ( Number of Particles = 128)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Sheet2!$P$3</c:f>
              <c:strCache>
                <c:ptCount val="1"/>
                <c:pt idx="0">
                  <c:v>Step Size 50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Sheet2!$O$4:$O$10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Sheet2!$P$4:$P$10</c:f>
              <c:numCache>
                <c:formatCode>General</c:formatCode>
                <c:ptCount val="7"/>
                <c:pt idx="0">
                  <c:v>1.0021640759999999</c:v>
                </c:pt>
                <c:pt idx="1">
                  <c:v>1.3883892069999999</c:v>
                </c:pt>
                <c:pt idx="2">
                  <c:v>1.7923997190000001</c:v>
                </c:pt>
                <c:pt idx="3">
                  <c:v>2.5444555439999998</c:v>
                </c:pt>
                <c:pt idx="4">
                  <c:v>3.3982655099999999</c:v>
                </c:pt>
                <c:pt idx="5">
                  <c:v>3.238397966</c:v>
                </c:pt>
                <c:pt idx="6">
                  <c:v>1.3808620220000001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F2-4974-999C-B49BE2A72DC0}"/>
            </c:ext>
          </c:extLst>
        </c:ser>
        <c:ser>
          <c:idx val="2"/>
          <c:order val="2"/>
          <c:tx>
            <c:strRef>
              <c:f>Sheet2!$Q$3</c:f>
              <c:strCache>
                <c:ptCount val="1"/>
                <c:pt idx="0">
                  <c:v>Step Size 100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Sheet2!$O$4:$O$10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Sheet2!$Q$4:$Q$10</c:f>
              <c:numCache>
                <c:formatCode>General</c:formatCode>
                <c:ptCount val="7"/>
                <c:pt idx="0">
                  <c:v>0.79349254999999996</c:v>
                </c:pt>
                <c:pt idx="1">
                  <c:v>1.1489530459999999</c:v>
                </c:pt>
                <c:pt idx="2">
                  <c:v>1.176958076</c:v>
                </c:pt>
                <c:pt idx="3">
                  <c:v>1.9838400439999999</c:v>
                </c:pt>
                <c:pt idx="4">
                  <c:v>2.8392787140000002</c:v>
                </c:pt>
                <c:pt idx="5">
                  <c:v>2.9407226959999999</c:v>
                </c:pt>
                <c:pt idx="6">
                  <c:v>1.067974049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F2-4974-999C-B49BE2A72DC0}"/>
            </c:ext>
          </c:extLst>
        </c:ser>
        <c:ser>
          <c:idx val="3"/>
          <c:order val="3"/>
          <c:tx>
            <c:strRef>
              <c:f>Sheet2!$R$3</c:f>
              <c:strCache>
                <c:ptCount val="1"/>
                <c:pt idx="0">
                  <c:v>Step Size 200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Sheet2!$O$4:$O$10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Sheet2!$R$4:$R$10</c:f>
              <c:numCache>
                <c:formatCode>General</c:formatCode>
                <c:ptCount val="7"/>
                <c:pt idx="0">
                  <c:v>0.79041169099999997</c:v>
                </c:pt>
                <c:pt idx="1">
                  <c:v>1.231032568</c:v>
                </c:pt>
                <c:pt idx="2">
                  <c:v>2.101563734</c:v>
                </c:pt>
                <c:pt idx="3">
                  <c:v>2.3712350739999999</c:v>
                </c:pt>
                <c:pt idx="4">
                  <c:v>2.7048180519999998</c:v>
                </c:pt>
                <c:pt idx="5">
                  <c:v>3.1807315319999998</c:v>
                </c:pt>
                <c:pt idx="6">
                  <c:v>1.504409769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F2-4974-999C-B49BE2A72DC0}"/>
            </c:ext>
          </c:extLst>
        </c:ser>
        <c:ser>
          <c:idx val="4"/>
          <c:order val="4"/>
          <c:tx>
            <c:strRef>
              <c:f>Sheet2!$S$3</c:f>
              <c:strCache>
                <c:ptCount val="1"/>
                <c:pt idx="0">
                  <c:v>Step Size 500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Sheet2!$O$4:$O$10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Sheet2!$S$4:$S$10</c:f>
              <c:numCache>
                <c:formatCode>General</c:formatCode>
                <c:ptCount val="7"/>
                <c:pt idx="0">
                  <c:v>0.928338581</c:v>
                </c:pt>
                <c:pt idx="1">
                  <c:v>1.5612670449999999</c:v>
                </c:pt>
                <c:pt idx="2">
                  <c:v>2.4501066250000001</c:v>
                </c:pt>
                <c:pt idx="3">
                  <c:v>3.182330468</c:v>
                </c:pt>
                <c:pt idx="4">
                  <c:v>3.2794291339999999</c:v>
                </c:pt>
                <c:pt idx="5">
                  <c:v>3.899695693</c:v>
                </c:pt>
                <c:pt idx="6">
                  <c:v>1.3305247179999999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F2-4974-999C-B49BE2A72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480896"/>
        <c:axId val="19664828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Sheet2!$O$3</c15:sqref>
                        </c15:formulaRef>
                      </c:ext>
                    </c:extLst>
                    <c:strCache>
                      <c:ptCount val="1"/>
                      <c:pt idx="0">
                        <c:v>Process Number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Sheet2!$O$4:$O$10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Sheet2!$O$4:$O$10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F2-4974-999C-B49BE2A72DC0}"/>
                  </c:ext>
                </c:extLst>
              </c15:ser>
            </c15:filteredLineSeries>
          </c:ext>
        </c:extLst>
      </c:lineChart>
      <c:catAx>
        <c:axId val="1966480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Process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482816"/>
        <c:crosses val="autoZero"/>
        <c:auto val="1"/>
        <c:lblAlgn val="ctr"/>
        <c:lblOffset val="100"/>
        <c:noMultiLvlLbl val="0"/>
      </c:catAx>
      <c:valAx>
        <c:axId val="196648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48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Speed Up vs Process Number ( Number of Particles = 256)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Sheet2!$P$35</c:f>
              <c:strCache>
                <c:ptCount val="1"/>
                <c:pt idx="0">
                  <c:v>Step Size 50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Sheet2!$O$36:$O$42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Sheet2!$P$36:$P$42</c:f>
              <c:numCache>
                <c:formatCode>General</c:formatCode>
                <c:ptCount val="7"/>
                <c:pt idx="0">
                  <c:v>0.84138588700000005</c:v>
                </c:pt>
                <c:pt idx="1">
                  <c:v>1.2507087509999999</c:v>
                </c:pt>
                <c:pt idx="2">
                  <c:v>1.253789314</c:v>
                </c:pt>
                <c:pt idx="3">
                  <c:v>2.2333783330000001</c:v>
                </c:pt>
                <c:pt idx="4">
                  <c:v>3.9507462690000001</c:v>
                </c:pt>
                <c:pt idx="5">
                  <c:v>4.9458146489999999</c:v>
                </c:pt>
                <c:pt idx="6">
                  <c:v>2.7048845290000001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66-411C-9052-F1396714F917}"/>
            </c:ext>
          </c:extLst>
        </c:ser>
        <c:ser>
          <c:idx val="2"/>
          <c:order val="2"/>
          <c:tx>
            <c:strRef>
              <c:f>Sheet2!$Q$35</c:f>
              <c:strCache>
                <c:ptCount val="1"/>
                <c:pt idx="0">
                  <c:v>Step Size 100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Sheet2!$O$36:$O$42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Sheet2!$Q$36:$Q$42</c:f>
              <c:numCache>
                <c:formatCode>General</c:formatCode>
                <c:ptCount val="7"/>
                <c:pt idx="0">
                  <c:v>0.88282005900000005</c:v>
                </c:pt>
                <c:pt idx="1">
                  <c:v>1.6068869180000001</c:v>
                </c:pt>
                <c:pt idx="2">
                  <c:v>1.854429493</c:v>
                </c:pt>
                <c:pt idx="3">
                  <c:v>2.6014157899999999</c:v>
                </c:pt>
                <c:pt idx="4">
                  <c:v>3.9076945799999998</c:v>
                </c:pt>
                <c:pt idx="5">
                  <c:v>5.6645257969999996</c:v>
                </c:pt>
                <c:pt idx="6">
                  <c:v>3.581348132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66-411C-9052-F1396714F917}"/>
            </c:ext>
          </c:extLst>
        </c:ser>
        <c:ser>
          <c:idx val="3"/>
          <c:order val="3"/>
          <c:tx>
            <c:strRef>
              <c:f>Sheet2!$R$35</c:f>
              <c:strCache>
                <c:ptCount val="1"/>
                <c:pt idx="0">
                  <c:v>Step Size 200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Sheet2!$O$36:$O$42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Sheet2!$R$36:$R$42</c:f>
              <c:numCache>
                <c:formatCode>General</c:formatCode>
                <c:ptCount val="7"/>
                <c:pt idx="0">
                  <c:v>0.95690747799999998</c:v>
                </c:pt>
                <c:pt idx="1">
                  <c:v>1.7090285860000001</c:v>
                </c:pt>
                <c:pt idx="2">
                  <c:v>2.2042876210000002</c:v>
                </c:pt>
                <c:pt idx="3">
                  <c:v>3.073031748</c:v>
                </c:pt>
                <c:pt idx="4">
                  <c:v>4.631090081</c:v>
                </c:pt>
                <c:pt idx="5">
                  <c:v>6.4200680270000001</c:v>
                </c:pt>
                <c:pt idx="6">
                  <c:v>4.6969427660000003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66-411C-9052-F1396714F917}"/>
            </c:ext>
          </c:extLst>
        </c:ser>
        <c:ser>
          <c:idx val="4"/>
          <c:order val="4"/>
          <c:tx>
            <c:strRef>
              <c:f>Sheet2!$S$35</c:f>
              <c:strCache>
                <c:ptCount val="1"/>
                <c:pt idx="0">
                  <c:v>Step Size 500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Sheet2!$O$36:$O$42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Sheet2!$S$36:$S$42</c:f>
              <c:numCache>
                <c:formatCode>General</c:formatCode>
                <c:ptCount val="7"/>
                <c:pt idx="0">
                  <c:v>0.97411129699999999</c:v>
                </c:pt>
                <c:pt idx="1">
                  <c:v>1.8073960570000001</c:v>
                </c:pt>
                <c:pt idx="2">
                  <c:v>3.255575544</c:v>
                </c:pt>
                <c:pt idx="3">
                  <c:v>4.8567332079999996</c:v>
                </c:pt>
                <c:pt idx="4">
                  <c:v>6.3118967990000003</c:v>
                </c:pt>
                <c:pt idx="5">
                  <c:v>9.1576320530000004</c:v>
                </c:pt>
                <c:pt idx="6">
                  <c:v>4.7529411760000002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66-411C-9052-F1396714F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664064"/>
        <c:axId val="18666434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Sheet2!$O$35</c15:sqref>
                        </c15:formulaRef>
                      </c:ext>
                    </c:extLst>
                    <c:strCache>
                      <c:ptCount val="1"/>
                      <c:pt idx="0">
                        <c:v>Process Number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Sheet2!$O$36:$O$42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Sheet2!$O$36:$O$42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066-411C-9052-F1396714F917}"/>
                  </c:ext>
                </c:extLst>
              </c15:ser>
            </c15:filteredLineSeries>
          </c:ext>
        </c:extLst>
      </c:lineChart>
      <c:catAx>
        <c:axId val="186666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Process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643424"/>
        <c:crosses val="autoZero"/>
        <c:auto val="1"/>
        <c:lblAlgn val="ctr"/>
        <c:lblOffset val="100"/>
        <c:noMultiLvlLbl val="0"/>
      </c:catAx>
      <c:valAx>
        <c:axId val="18666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Speed</a:t>
                </a:r>
                <a:r>
                  <a:rPr lang="en-MY" baseline="0"/>
                  <a:t> Up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66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Speed Up vs Process Number ( Number of Particles = 512)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Sheet2!$P$67</c:f>
              <c:strCache>
                <c:ptCount val="1"/>
                <c:pt idx="0">
                  <c:v>Step Size 50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Sheet2!$O$68:$O$74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Sheet2!$P$68:$P$74</c:f>
              <c:numCache>
                <c:formatCode>General</c:formatCode>
                <c:ptCount val="7"/>
                <c:pt idx="0">
                  <c:v>0.95810461999999996</c:v>
                </c:pt>
                <c:pt idx="1">
                  <c:v>1.7424057120000001</c:v>
                </c:pt>
                <c:pt idx="2">
                  <c:v>2.8390693169999999</c:v>
                </c:pt>
                <c:pt idx="3">
                  <c:v>4.4330165670000001</c:v>
                </c:pt>
                <c:pt idx="4">
                  <c:v>5.160352423</c:v>
                </c:pt>
                <c:pt idx="5">
                  <c:v>8.5475920219999999</c:v>
                </c:pt>
                <c:pt idx="6">
                  <c:v>4.8320652669999999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42-4AB2-906F-61DDB8B88E99}"/>
            </c:ext>
          </c:extLst>
        </c:ser>
        <c:ser>
          <c:idx val="2"/>
          <c:order val="2"/>
          <c:tx>
            <c:strRef>
              <c:f>Sheet2!$Q$67</c:f>
              <c:strCache>
                <c:ptCount val="1"/>
                <c:pt idx="0">
                  <c:v>Step Size 100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Sheet2!$O$68:$O$74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Sheet2!$Q$68:$Q$74</c:f>
              <c:numCache>
                <c:formatCode>General</c:formatCode>
                <c:ptCount val="7"/>
                <c:pt idx="0">
                  <c:v>0.97137980300000004</c:v>
                </c:pt>
                <c:pt idx="1">
                  <c:v>1.8514552010000001</c:v>
                </c:pt>
                <c:pt idx="2">
                  <c:v>2.8816236040000001</c:v>
                </c:pt>
                <c:pt idx="3">
                  <c:v>4.8699292290000002</c:v>
                </c:pt>
                <c:pt idx="4">
                  <c:v>6.4925382340000004</c:v>
                </c:pt>
                <c:pt idx="5">
                  <c:v>10.52303848</c:v>
                </c:pt>
                <c:pt idx="6">
                  <c:v>7.6060540379999999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42-4AB2-906F-61DDB8B88E99}"/>
            </c:ext>
          </c:extLst>
        </c:ser>
        <c:ser>
          <c:idx val="3"/>
          <c:order val="3"/>
          <c:tx>
            <c:strRef>
              <c:f>Sheet2!$R$67</c:f>
              <c:strCache>
                <c:ptCount val="1"/>
                <c:pt idx="0">
                  <c:v>Step Size 200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Sheet2!$O$68:$O$74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Sheet2!$R$68:$R$74</c:f>
              <c:numCache>
                <c:formatCode>General</c:formatCode>
                <c:ptCount val="7"/>
                <c:pt idx="0">
                  <c:v>0.99282651399999999</c:v>
                </c:pt>
                <c:pt idx="1">
                  <c:v>1.902041589</c:v>
                </c:pt>
                <c:pt idx="2">
                  <c:v>3.392931828</c:v>
                </c:pt>
                <c:pt idx="3">
                  <c:v>5.7161246610000003</c:v>
                </c:pt>
                <c:pt idx="4">
                  <c:v>8.5373998219999994</c:v>
                </c:pt>
                <c:pt idx="5">
                  <c:v>12.2332096</c:v>
                </c:pt>
                <c:pt idx="6">
                  <c:v>10.89376098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42-4AB2-906F-61DDB8B88E99}"/>
            </c:ext>
          </c:extLst>
        </c:ser>
        <c:ser>
          <c:idx val="4"/>
          <c:order val="4"/>
          <c:tx>
            <c:strRef>
              <c:f>Sheet2!$S$67</c:f>
              <c:strCache>
                <c:ptCount val="1"/>
                <c:pt idx="0">
                  <c:v>Step Size 500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Sheet2!$O$68:$O$74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Sheet2!$S$68:$S$74</c:f>
              <c:numCache>
                <c:formatCode>General</c:formatCode>
                <c:ptCount val="7"/>
                <c:pt idx="0">
                  <c:v>1.004533114</c:v>
                </c:pt>
                <c:pt idx="1">
                  <c:v>1.95459395</c:v>
                </c:pt>
                <c:pt idx="2">
                  <c:v>3.7596069569999999</c:v>
                </c:pt>
                <c:pt idx="3">
                  <c:v>6.8195295329999999</c:v>
                </c:pt>
                <c:pt idx="4">
                  <c:v>11.051400210000001</c:v>
                </c:pt>
                <c:pt idx="5">
                  <c:v>16.633365909999998</c:v>
                </c:pt>
                <c:pt idx="6">
                  <c:v>11.728954099999999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42-4AB2-906F-61DDB8B88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471776"/>
        <c:axId val="19664640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Sheet2!$O$67</c15:sqref>
                        </c15:formulaRef>
                      </c:ext>
                    </c:extLst>
                    <c:strCache>
                      <c:ptCount val="1"/>
                      <c:pt idx="0">
                        <c:v>Process Number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Sheet2!$O$68:$O$74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Sheet2!$O$68:$O$74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642-4AB2-906F-61DDB8B88E99}"/>
                  </c:ext>
                </c:extLst>
              </c15:ser>
            </c15:filteredLineSeries>
          </c:ext>
        </c:extLst>
      </c:lineChart>
      <c:catAx>
        <c:axId val="1966471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Process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464096"/>
        <c:crosses val="autoZero"/>
        <c:auto val="1"/>
        <c:lblAlgn val="ctr"/>
        <c:lblOffset val="100"/>
        <c:noMultiLvlLbl val="0"/>
      </c:catAx>
      <c:valAx>
        <c:axId val="196646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47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/>
              <a:t>Speed Up vs Process Number ( Number of Particles</a:t>
            </a:r>
            <a:r>
              <a:rPr lang="en-MY" sz="1200" baseline="0"/>
              <a:t> = 1024)</a:t>
            </a:r>
            <a:endParaRPr lang="en-MY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Sheet2!$P$99</c:f>
              <c:strCache>
                <c:ptCount val="1"/>
                <c:pt idx="0">
                  <c:v>Step Size 50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Sheet2!$O$100:$O$106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Sheet2!$P$100:$P$106</c:f>
              <c:numCache>
                <c:formatCode>General</c:formatCode>
                <c:ptCount val="7"/>
                <c:pt idx="0">
                  <c:v>0.98970636000000001</c:v>
                </c:pt>
                <c:pt idx="1">
                  <c:v>1.890603767</c:v>
                </c:pt>
                <c:pt idx="2">
                  <c:v>3.3259241670000002</c:v>
                </c:pt>
                <c:pt idx="3">
                  <c:v>5.9350227420000001</c:v>
                </c:pt>
                <c:pt idx="4">
                  <c:v>9.3071947549999994</c:v>
                </c:pt>
                <c:pt idx="5">
                  <c:v>13.32923038</c:v>
                </c:pt>
                <c:pt idx="6">
                  <c:v>11.67187066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9B-449C-AAA9-3841D983BCDA}"/>
            </c:ext>
          </c:extLst>
        </c:ser>
        <c:ser>
          <c:idx val="2"/>
          <c:order val="2"/>
          <c:tx>
            <c:strRef>
              <c:f>Sheet2!$Q$99</c:f>
              <c:strCache>
                <c:ptCount val="1"/>
                <c:pt idx="0">
                  <c:v>Step Size 100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Sheet2!$O$100:$O$106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Sheet2!$Q$100:$Q$106</c:f>
              <c:numCache>
                <c:formatCode>General</c:formatCode>
                <c:ptCount val="7"/>
                <c:pt idx="0">
                  <c:v>0.99787413599999997</c:v>
                </c:pt>
                <c:pt idx="1">
                  <c:v>1.9647185089999999</c:v>
                </c:pt>
                <c:pt idx="2">
                  <c:v>3.711906693</c:v>
                </c:pt>
                <c:pt idx="3">
                  <c:v>6.6514328139999996</c:v>
                </c:pt>
                <c:pt idx="4">
                  <c:v>11.296657010000001</c:v>
                </c:pt>
                <c:pt idx="5">
                  <c:v>18.20201453</c:v>
                </c:pt>
                <c:pt idx="6">
                  <c:v>12.984919509999999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9B-449C-AAA9-3841D983BCDA}"/>
            </c:ext>
          </c:extLst>
        </c:ser>
        <c:ser>
          <c:idx val="3"/>
          <c:order val="3"/>
          <c:tx>
            <c:strRef>
              <c:f>Sheet2!$R$99</c:f>
              <c:strCache>
                <c:ptCount val="1"/>
                <c:pt idx="0">
                  <c:v>Step Size 200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Sheet2!$O$100:$O$106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Sheet2!$R$100:$R$106</c:f>
              <c:numCache>
                <c:formatCode>General</c:formatCode>
                <c:ptCount val="7"/>
                <c:pt idx="0">
                  <c:v>1.0052300139999999</c:v>
                </c:pt>
                <c:pt idx="1">
                  <c:v>1.9754142400000001</c:v>
                </c:pt>
                <c:pt idx="2">
                  <c:v>3.7704621469999999</c:v>
                </c:pt>
                <c:pt idx="3">
                  <c:v>7.1575770969999999</c:v>
                </c:pt>
                <c:pt idx="4">
                  <c:v>12.896618269999999</c:v>
                </c:pt>
                <c:pt idx="5">
                  <c:v>21.414663919999999</c:v>
                </c:pt>
                <c:pt idx="6">
                  <c:v>13.86152403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9B-449C-AAA9-3841D983BCDA}"/>
            </c:ext>
          </c:extLst>
        </c:ser>
        <c:ser>
          <c:idx val="4"/>
          <c:order val="4"/>
          <c:tx>
            <c:strRef>
              <c:f>Sheet2!$S$99</c:f>
              <c:strCache>
                <c:ptCount val="1"/>
                <c:pt idx="0">
                  <c:v>Step Size 500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Sheet2!$O$100:$O$106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Sheet2!$S$100:$S$106</c:f>
              <c:numCache>
                <c:formatCode>General</c:formatCode>
                <c:ptCount val="7"/>
                <c:pt idx="0">
                  <c:v>1.0068607999999999</c:v>
                </c:pt>
                <c:pt idx="1">
                  <c:v>1.991067097</c:v>
                </c:pt>
                <c:pt idx="2">
                  <c:v>3.906355129</c:v>
                </c:pt>
                <c:pt idx="3">
                  <c:v>7.5140951139999999</c:v>
                </c:pt>
                <c:pt idx="4">
                  <c:v>14.161138429999999</c:v>
                </c:pt>
                <c:pt idx="5">
                  <c:v>24.69279581</c:v>
                </c:pt>
                <c:pt idx="6">
                  <c:v>13.578314260000001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9B-449C-AAA9-3841D983B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2673824"/>
        <c:axId val="132875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Sheet2!$O$99</c15:sqref>
                        </c15:formulaRef>
                      </c:ext>
                    </c:extLst>
                    <c:strCache>
                      <c:ptCount val="1"/>
                      <c:pt idx="0">
                        <c:v>Process Number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Sheet2!$O$100:$O$106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Sheet2!$O$100:$O$106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19B-449C-AAA9-3841D983BCDA}"/>
                  </c:ext>
                </c:extLst>
              </c15:ser>
            </c15:filteredLineSeries>
          </c:ext>
        </c:extLst>
      </c:lineChart>
      <c:catAx>
        <c:axId val="1322673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Process</a:t>
                </a:r>
                <a:r>
                  <a:rPr lang="en-MY" baseline="0"/>
                  <a:t> Number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754640"/>
        <c:crosses val="autoZero"/>
        <c:auto val="1"/>
        <c:lblAlgn val="ctr"/>
        <c:lblOffset val="100"/>
        <c:noMultiLvlLbl val="0"/>
      </c:catAx>
      <c:valAx>
        <c:axId val="132875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Speed</a:t>
                </a:r>
                <a:r>
                  <a:rPr lang="en-MY" baseline="0"/>
                  <a:t> Up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7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211410</xdr:colOff>
      <xdr:row>18</xdr:row>
      <xdr:rowOff>37561</xdr:rowOff>
    </xdr:from>
    <xdr:to>
      <xdr:col>24</xdr:col>
      <xdr:colOff>514230</xdr:colOff>
      <xdr:row>32</xdr:row>
      <xdr:rowOff>29094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E62C5-6113-6324-5FFE-057121033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573852</xdr:colOff>
      <xdr:row>18</xdr:row>
      <xdr:rowOff>70301</xdr:rowOff>
    </xdr:from>
    <xdr:to>
      <xdr:col>32</xdr:col>
      <xdr:colOff>235157</xdr:colOff>
      <xdr:row>31</xdr:row>
      <xdr:rowOff>106447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4EE78D-2D6F-A116-EDB0-3E0C912C6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239269</xdr:colOff>
      <xdr:row>32</xdr:row>
      <xdr:rowOff>71867</xdr:rowOff>
    </xdr:from>
    <xdr:to>
      <xdr:col>24</xdr:col>
      <xdr:colOff>515090</xdr:colOff>
      <xdr:row>43</xdr:row>
      <xdr:rowOff>145999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1B9394-CFD2-26CE-0707-83D92B49A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565393</xdr:colOff>
      <xdr:row>32</xdr:row>
      <xdr:rowOff>48379</xdr:rowOff>
    </xdr:from>
    <xdr:to>
      <xdr:col>32</xdr:col>
      <xdr:colOff>232133</xdr:colOff>
      <xdr:row>43</xdr:row>
      <xdr:rowOff>120003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BE3C30-1EB1-A719-122E-EF12E3C0B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427637</xdr:colOff>
      <xdr:row>9</xdr:row>
      <xdr:rowOff>79331</xdr:rowOff>
    </xdr:from>
    <xdr:to>
      <xdr:col>28</xdr:col>
      <xdr:colOff>130341</xdr:colOff>
      <xdr:row>22</xdr:row>
      <xdr:rowOff>120894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F83AB1-0260-F469-534D-4C702243A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241391</xdr:colOff>
      <xdr:row>9</xdr:row>
      <xdr:rowOff>98470</xdr:rowOff>
    </xdr:from>
    <xdr:to>
      <xdr:col>35</xdr:col>
      <xdr:colOff>554030</xdr:colOff>
      <xdr:row>22</xdr:row>
      <xdr:rowOff>140034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AC648F-C718-4623-35E6-80BDE7E58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381304</xdr:colOff>
      <xdr:row>23</xdr:row>
      <xdr:rowOff>58213</xdr:rowOff>
    </xdr:from>
    <xdr:to>
      <xdr:col>28</xdr:col>
      <xdr:colOff>84008</xdr:colOff>
      <xdr:row>33</xdr:row>
      <xdr:rowOff>116488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716DAB-F596-8495-21C1-2C257F139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245036</xdr:colOff>
      <xdr:row>23</xdr:row>
      <xdr:rowOff>54718</xdr:rowOff>
    </xdr:from>
    <xdr:to>
      <xdr:col>35</xdr:col>
      <xdr:colOff>557675</xdr:colOff>
      <xdr:row>33</xdr:row>
      <xdr:rowOff>112994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06252B-6CD5-5187-2F1B-7AC250175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9960-2896-4B61-919D-A474879FD735}">
  <dimension ref="A1:P128"/>
  <sheetViews>
    <sheetView topLeftCell="M1" zoomScale="24" workbookViewId="0">
      <selection activeCell="O24" sqref="O24"/>
    </sheetView>
  </sheetViews>
  <sheetFormatPr defaultRowHeight="14.5" x14ac:dyDescent="0.35"/>
  <cols>
    <col min="1" max="1" width="19.26953125" customWidth="1"/>
    <col min="2" max="2" width="15.90625" customWidth="1"/>
    <col min="3" max="3" width="23" customWidth="1"/>
    <col min="6" max="6" width="20.7265625" customWidth="1"/>
    <col min="7" max="7" width="15.6328125" customWidth="1"/>
    <col min="8" max="8" width="23.54296875" customWidth="1"/>
    <col min="9" max="9" width="21.1796875" customWidth="1"/>
    <col min="12" max="12" width="13.81640625" customWidth="1"/>
    <col min="13" max="13" width="13.90625" customWidth="1"/>
    <col min="14" max="14" width="12.81640625" customWidth="1"/>
    <col min="15" max="15" width="13.7265625" customWidth="1"/>
    <col min="16" max="16" width="15.7265625" customWidth="1"/>
  </cols>
  <sheetData>
    <row r="1" spans="1:16" ht="47" customHeight="1" thickBot="1" x14ac:dyDescent="0.4">
      <c r="A1" s="1" t="s">
        <v>0</v>
      </c>
      <c r="B1" s="2" t="s">
        <v>1</v>
      </c>
      <c r="C1" s="2" t="s">
        <v>2</v>
      </c>
      <c r="F1" s="7" t="s">
        <v>3</v>
      </c>
    </row>
    <row r="2" spans="1:16" ht="16" thickBot="1" x14ac:dyDescent="0.4">
      <c r="A2" s="5">
        <v>1024</v>
      </c>
      <c r="B2" s="3">
        <v>50</v>
      </c>
      <c r="C2" s="3">
        <v>1.2411999999999999E-2</v>
      </c>
      <c r="F2" s="7"/>
    </row>
    <row r="3" spans="1:16" ht="16" thickBot="1" x14ac:dyDescent="0.4">
      <c r="A3" s="4"/>
      <c r="B3" s="3">
        <v>100</v>
      </c>
      <c r="C3" s="3">
        <v>1.2389000000000001E-2</v>
      </c>
      <c r="F3" s="1" t="s">
        <v>1</v>
      </c>
      <c r="G3" s="2" t="s">
        <v>4</v>
      </c>
      <c r="H3" s="2" t="s">
        <v>5</v>
      </c>
      <c r="I3" s="2" t="s">
        <v>6</v>
      </c>
      <c r="L3" s="8" t="s">
        <v>4</v>
      </c>
      <c r="M3" s="8" t="s">
        <v>10</v>
      </c>
      <c r="N3" s="8" t="s">
        <v>11</v>
      </c>
      <c r="O3" s="8" t="s">
        <v>12</v>
      </c>
      <c r="P3" s="8" t="s">
        <v>13</v>
      </c>
    </row>
    <row r="4" spans="1:16" ht="16" thickBot="1" x14ac:dyDescent="0.4">
      <c r="A4" s="4"/>
      <c r="B4" s="3">
        <v>200</v>
      </c>
      <c r="C4" s="3">
        <v>1.2394000000000001E-2</v>
      </c>
      <c r="F4" s="5">
        <v>50</v>
      </c>
      <c r="G4" s="3">
        <v>1</v>
      </c>
      <c r="H4" s="3">
        <v>1.2361E-2</v>
      </c>
      <c r="I4" s="3">
        <f>$C$2/H4</f>
        <v>1.0041258797831889</v>
      </c>
      <c r="L4" s="11">
        <v>1</v>
      </c>
      <c r="M4" s="9">
        <v>1.0041258799999999</v>
      </c>
      <c r="N4" s="9">
        <v>1.0040521920000001</v>
      </c>
      <c r="O4" s="9">
        <v>1.0045388230000001</v>
      </c>
      <c r="P4" s="9">
        <v>1.005189329</v>
      </c>
    </row>
    <row r="5" spans="1:16" ht="16" thickBot="1" x14ac:dyDescent="0.4">
      <c r="A5" s="6"/>
      <c r="B5" s="3">
        <v>500</v>
      </c>
      <c r="C5" s="3">
        <v>1.2397E-2</v>
      </c>
      <c r="F5" s="4"/>
      <c r="G5" s="3">
        <v>2</v>
      </c>
      <c r="H5" s="3">
        <v>6.1260000000000004E-3</v>
      </c>
      <c r="I5" s="3">
        <f t="shared" ref="I5:I10" si="0">$C$2/H5</f>
        <v>2.0261181847861574</v>
      </c>
      <c r="L5" s="11">
        <v>2</v>
      </c>
      <c r="M5" s="10">
        <v>2.0261181850000001</v>
      </c>
      <c r="N5" s="10">
        <v>2.0210440460000001</v>
      </c>
      <c r="O5" s="10">
        <v>2.0261566129999999</v>
      </c>
      <c r="P5" s="10">
        <v>2.0283049740000001</v>
      </c>
    </row>
    <row r="6" spans="1:16" ht="16" thickBot="1" x14ac:dyDescent="0.4">
      <c r="A6" s="5">
        <v>2048</v>
      </c>
      <c r="B6" s="3">
        <v>50</v>
      </c>
      <c r="C6" s="3">
        <v>5.1631000000000003E-2</v>
      </c>
      <c r="F6" s="4"/>
      <c r="G6" s="3">
        <v>4</v>
      </c>
      <c r="H6" s="3">
        <v>4.0140000000000002E-3</v>
      </c>
      <c r="I6" s="3">
        <f t="shared" si="0"/>
        <v>3.0921773791728944</v>
      </c>
      <c r="L6" s="11">
        <v>4</v>
      </c>
      <c r="M6" s="10">
        <v>3.0921773789999998</v>
      </c>
      <c r="N6" s="10">
        <v>3.1128140700000002</v>
      </c>
      <c r="O6" s="10">
        <v>3.8877038900000001</v>
      </c>
      <c r="P6" s="10">
        <v>2.9814814809999999</v>
      </c>
    </row>
    <row r="7" spans="1:16" ht="16" thickBot="1" x14ac:dyDescent="0.4">
      <c r="A7" s="4"/>
      <c r="B7" s="3">
        <v>100</v>
      </c>
      <c r="C7" s="3">
        <v>5.1362999999999999E-2</v>
      </c>
      <c r="F7" s="4"/>
      <c r="G7" s="3">
        <v>8</v>
      </c>
      <c r="H7" s="3">
        <v>2.5070000000000001E-3</v>
      </c>
      <c r="I7" s="3">
        <f t="shared" si="0"/>
        <v>4.9509373753490227</v>
      </c>
      <c r="L7" s="11">
        <v>8</v>
      </c>
      <c r="M7" s="10">
        <v>4.9509373749999996</v>
      </c>
      <c r="N7" s="10">
        <v>5.621143376</v>
      </c>
      <c r="O7" s="10">
        <v>6.1144548590000003</v>
      </c>
      <c r="P7" s="10">
        <v>4.7352941179999997</v>
      </c>
    </row>
    <row r="8" spans="1:16" ht="16" thickBot="1" x14ac:dyDescent="0.4">
      <c r="A8" s="4"/>
      <c r="B8" s="3">
        <v>200</v>
      </c>
      <c r="C8" s="3">
        <v>5.1338000000000002E-2</v>
      </c>
      <c r="F8" s="4"/>
      <c r="G8" s="3">
        <v>16</v>
      </c>
      <c r="H8" s="3">
        <v>2.3119999999999998E-3</v>
      </c>
      <c r="I8" s="3">
        <f t="shared" si="0"/>
        <v>5.3685121107266438</v>
      </c>
      <c r="L8" s="11">
        <v>16</v>
      </c>
      <c r="M8" s="10">
        <v>5.3685121110000003</v>
      </c>
      <c r="N8" s="10">
        <v>6.6967567570000002</v>
      </c>
      <c r="O8" s="10">
        <v>8.1485864560000003</v>
      </c>
      <c r="P8" s="10">
        <v>7.1329113919999996</v>
      </c>
    </row>
    <row r="9" spans="1:16" ht="16" thickBot="1" x14ac:dyDescent="0.4">
      <c r="A9" s="6"/>
      <c r="B9" s="3">
        <v>500</v>
      </c>
      <c r="C9" s="3">
        <v>5.1658000000000003E-2</v>
      </c>
      <c r="F9" s="4"/>
      <c r="G9" s="3">
        <v>32</v>
      </c>
      <c r="H9" s="3">
        <v>1.1119999999999999E-3</v>
      </c>
      <c r="I9" s="3">
        <f t="shared" si="0"/>
        <v>11.161870503597122</v>
      </c>
      <c r="L9" s="11">
        <v>32</v>
      </c>
      <c r="M9" s="10">
        <v>11.161870499999999</v>
      </c>
      <c r="N9" s="10">
        <v>8.5382494829999995</v>
      </c>
      <c r="O9" s="10">
        <v>10.268434129999999</v>
      </c>
      <c r="P9" s="10">
        <v>8.6270006959999996</v>
      </c>
    </row>
    <row r="10" spans="1:16" ht="16" thickBot="1" x14ac:dyDescent="0.4">
      <c r="A10" s="5">
        <v>4096</v>
      </c>
      <c r="B10" s="3">
        <v>50</v>
      </c>
      <c r="C10" s="3">
        <v>0.23944599999999999</v>
      </c>
      <c r="F10" s="6"/>
      <c r="G10" s="3">
        <v>64</v>
      </c>
      <c r="H10" s="3">
        <v>1.3569999999999999E-3</v>
      </c>
      <c r="I10" s="3">
        <f t="shared" si="0"/>
        <v>9.1466470154753132</v>
      </c>
      <c r="L10" s="11">
        <v>64</v>
      </c>
      <c r="M10" s="10">
        <v>9.1466470149999992</v>
      </c>
      <c r="N10" s="10">
        <v>5.402965547</v>
      </c>
      <c r="O10" s="10">
        <v>6.246975806</v>
      </c>
      <c r="P10" s="10">
        <v>6.5662076269999998</v>
      </c>
    </row>
    <row r="11" spans="1:16" ht="16" thickBot="1" x14ac:dyDescent="0.4">
      <c r="A11" s="4"/>
      <c r="B11" s="3">
        <v>100</v>
      </c>
      <c r="C11" s="3">
        <v>0.23897199999999999</v>
      </c>
      <c r="F11" s="5">
        <v>100</v>
      </c>
      <c r="G11" s="3">
        <v>1</v>
      </c>
      <c r="H11" s="3">
        <v>1.2338999999999999E-2</v>
      </c>
      <c r="I11" s="3">
        <f>$C$3/H11</f>
        <v>1.0040521922359997</v>
      </c>
    </row>
    <row r="12" spans="1:16" ht="16" thickBot="1" x14ac:dyDescent="0.4">
      <c r="A12" s="4"/>
      <c r="B12" s="3">
        <v>200</v>
      </c>
      <c r="C12" s="3">
        <v>0.23899599999999999</v>
      </c>
      <c r="F12" s="4"/>
      <c r="G12" s="3">
        <v>2</v>
      </c>
      <c r="H12" s="3">
        <v>6.13E-3</v>
      </c>
      <c r="I12" s="3">
        <f t="shared" ref="I12:I17" si="1">$C$3/H12</f>
        <v>2.0210440456769985</v>
      </c>
    </row>
    <row r="13" spans="1:16" ht="16" thickBot="1" x14ac:dyDescent="0.4">
      <c r="A13" s="6"/>
      <c r="B13" s="3">
        <v>500</v>
      </c>
      <c r="C13" s="3">
        <v>0.238898</v>
      </c>
      <c r="F13" s="4"/>
      <c r="G13" s="3">
        <v>4</v>
      </c>
      <c r="H13" s="3">
        <v>3.98E-3</v>
      </c>
      <c r="I13" s="3">
        <f t="shared" si="1"/>
        <v>3.1128140703517588</v>
      </c>
    </row>
    <row r="14" spans="1:16" ht="16" thickBot="1" x14ac:dyDescent="0.4">
      <c r="A14" s="5">
        <v>8192</v>
      </c>
      <c r="B14" s="3">
        <v>50</v>
      </c>
      <c r="C14" s="3">
        <v>0.90112499999999995</v>
      </c>
      <c r="F14" s="4"/>
      <c r="G14" s="3">
        <v>8</v>
      </c>
      <c r="H14" s="3">
        <v>2.2039999999999998E-3</v>
      </c>
      <c r="I14" s="3">
        <f t="shared" si="1"/>
        <v>5.6211433756805818</v>
      </c>
    </row>
    <row r="15" spans="1:16" ht="16" thickBot="1" x14ac:dyDescent="0.4">
      <c r="A15" s="4"/>
      <c r="B15" s="3">
        <v>100</v>
      </c>
      <c r="C15" s="3">
        <v>0.89335600000000004</v>
      </c>
      <c r="F15" s="4"/>
      <c r="G15" s="3">
        <v>16</v>
      </c>
      <c r="H15" s="3">
        <v>1.8500000000000001E-3</v>
      </c>
      <c r="I15" s="3">
        <f t="shared" si="1"/>
        <v>6.6967567567567565</v>
      </c>
    </row>
    <row r="16" spans="1:16" ht="16" thickBot="1" x14ac:dyDescent="0.4">
      <c r="A16" s="4"/>
      <c r="B16" s="3">
        <v>200</v>
      </c>
      <c r="C16" s="3">
        <v>0.89012100000000005</v>
      </c>
      <c r="F16" s="4"/>
      <c r="G16" s="3">
        <v>32</v>
      </c>
      <c r="H16" s="3">
        <v>1.451E-3</v>
      </c>
      <c r="I16" s="3">
        <f t="shared" si="1"/>
        <v>8.5382494831150932</v>
      </c>
    </row>
    <row r="17" spans="1:9" ht="16" thickBot="1" x14ac:dyDescent="0.4">
      <c r="A17" s="6"/>
      <c r="B17" s="3">
        <v>500</v>
      </c>
      <c r="C17" s="3">
        <v>0.87974399999999997</v>
      </c>
      <c r="F17" s="6"/>
      <c r="G17" s="3">
        <v>64</v>
      </c>
      <c r="H17" s="3">
        <v>2.2929999999999999E-3</v>
      </c>
      <c r="I17" s="3">
        <f t="shared" si="1"/>
        <v>5.4029655473179243</v>
      </c>
    </row>
    <row r="18" spans="1:9" ht="16" thickBot="1" x14ac:dyDescent="0.4">
      <c r="F18" s="5">
        <v>200</v>
      </c>
      <c r="G18" s="3">
        <v>1</v>
      </c>
      <c r="H18" s="3">
        <v>1.2338E-2</v>
      </c>
      <c r="I18" s="3">
        <f>$C$4/H18</f>
        <v>1.0045388231479981</v>
      </c>
    </row>
    <row r="19" spans="1:9" ht="16" thickBot="1" x14ac:dyDescent="0.4">
      <c r="F19" s="4"/>
      <c r="G19" s="3">
        <v>2</v>
      </c>
      <c r="H19" s="3">
        <v>6.117E-3</v>
      </c>
      <c r="I19" s="3">
        <f t="shared" ref="I19:I24" si="2">$C$4/H19</f>
        <v>2.026156612718653</v>
      </c>
    </row>
    <row r="20" spans="1:9" ht="16" thickBot="1" x14ac:dyDescent="0.4">
      <c r="F20" s="4"/>
      <c r="G20" s="3">
        <v>4</v>
      </c>
      <c r="H20" s="3">
        <v>3.1879999999999999E-3</v>
      </c>
      <c r="I20" s="3">
        <f t="shared" si="2"/>
        <v>3.8877038895859477</v>
      </c>
    </row>
    <row r="21" spans="1:9" ht="16" thickBot="1" x14ac:dyDescent="0.4">
      <c r="F21" s="4"/>
      <c r="G21" s="3">
        <v>8</v>
      </c>
      <c r="H21" s="3">
        <v>2.0270000000000002E-3</v>
      </c>
      <c r="I21" s="3">
        <f t="shared" si="2"/>
        <v>6.1144548593981254</v>
      </c>
    </row>
    <row r="22" spans="1:9" ht="16" thickBot="1" x14ac:dyDescent="0.4">
      <c r="F22" s="4"/>
      <c r="G22" s="3">
        <v>16</v>
      </c>
      <c r="H22" s="3">
        <v>1.521E-3</v>
      </c>
      <c r="I22" s="3">
        <f t="shared" si="2"/>
        <v>8.148586456278764</v>
      </c>
    </row>
    <row r="23" spans="1:9" ht="16" thickBot="1" x14ac:dyDescent="0.4">
      <c r="F23" s="4"/>
      <c r="G23" s="3">
        <v>32</v>
      </c>
      <c r="H23" s="3">
        <v>1.207E-3</v>
      </c>
      <c r="I23" s="3">
        <f t="shared" si="2"/>
        <v>10.268434134217069</v>
      </c>
    </row>
    <row r="24" spans="1:9" ht="16" thickBot="1" x14ac:dyDescent="0.4">
      <c r="F24" s="6"/>
      <c r="G24" s="3">
        <v>64</v>
      </c>
      <c r="H24" s="3">
        <v>1.9840000000000001E-3</v>
      </c>
      <c r="I24" s="3">
        <f t="shared" si="2"/>
        <v>6.246975806451613</v>
      </c>
    </row>
    <row r="25" spans="1:9" ht="16" thickBot="1" x14ac:dyDescent="0.4">
      <c r="F25" s="5">
        <v>500</v>
      </c>
      <c r="G25" s="3">
        <v>1</v>
      </c>
      <c r="H25" s="3">
        <v>1.2333E-2</v>
      </c>
      <c r="I25" s="3">
        <f>$C$5/H25</f>
        <v>1.0051893294413363</v>
      </c>
    </row>
    <row r="26" spans="1:9" ht="16" thickBot="1" x14ac:dyDescent="0.4">
      <c r="F26" s="4"/>
      <c r="G26" s="3">
        <v>2</v>
      </c>
      <c r="H26" s="3">
        <v>6.1120000000000002E-3</v>
      </c>
      <c r="I26" s="3">
        <f t="shared" ref="I26:I31" si="3">$C$5/H26</f>
        <v>2.0283049738219896</v>
      </c>
    </row>
    <row r="27" spans="1:9" ht="16" thickBot="1" x14ac:dyDescent="0.4">
      <c r="F27" s="4"/>
      <c r="G27" s="3">
        <v>4</v>
      </c>
      <c r="H27" s="3">
        <v>4.1580000000000002E-3</v>
      </c>
      <c r="I27" s="3">
        <f t="shared" si="3"/>
        <v>2.9814814814814814</v>
      </c>
    </row>
    <row r="28" spans="1:9" ht="16" thickBot="1" x14ac:dyDescent="0.4">
      <c r="F28" s="4"/>
      <c r="G28" s="3">
        <v>8</v>
      </c>
      <c r="H28" s="3">
        <v>2.6180000000000001E-3</v>
      </c>
      <c r="I28" s="3">
        <f t="shared" si="3"/>
        <v>4.7352941176470589</v>
      </c>
    </row>
    <row r="29" spans="1:9" ht="16" thickBot="1" x14ac:dyDescent="0.4">
      <c r="F29" s="4"/>
      <c r="G29" s="3">
        <v>16</v>
      </c>
      <c r="H29" s="3">
        <v>1.738E-3</v>
      </c>
      <c r="I29" s="3">
        <f t="shared" si="3"/>
        <v>7.1329113924050631</v>
      </c>
    </row>
    <row r="30" spans="1:9" ht="16" thickBot="1" x14ac:dyDescent="0.4">
      <c r="F30" s="4"/>
      <c r="G30" s="3">
        <v>32</v>
      </c>
      <c r="H30" s="3">
        <v>1.4369999999999999E-3</v>
      </c>
      <c r="I30" s="3">
        <f t="shared" si="3"/>
        <v>8.6270006958942247</v>
      </c>
    </row>
    <row r="31" spans="1:9" ht="16" thickBot="1" x14ac:dyDescent="0.4">
      <c r="F31" s="6"/>
      <c r="G31" s="3">
        <v>64</v>
      </c>
      <c r="H31" s="3">
        <v>1.8879999999999999E-3</v>
      </c>
      <c r="I31" s="3">
        <f t="shared" si="3"/>
        <v>6.5662076271186445</v>
      </c>
    </row>
    <row r="32" spans="1:9" ht="15.5" x14ac:dyDescent="0.35">
      <c r="F32" s="7"/>
    </row>
    <row r="33" spans="6:16" ht="46.5" x14ac:dyDescent="0.35">
      <c r="F33" s="7" t="s">
        <v>7</v>
      </c>
    </row>
    <row r="34" spans="6:16" ht="16" thickBot="1" x14ac:dyDescent="0.4">
      <c r="F34" s="7"/>
    </row>
    <row r="35" spans="6:16" ht="16" thickBot="1" x14ac:dyDescent="0.4">
      <c r="F35" s="1" t="s">
        <v>1</v>
      </c>
      <c r="G35" s="2" t="s">
        <v>4</v>
      </c>
      <c r="H35" s="2" t="s">
        <v>5</v>
      </c>
      <c r="I35" s="2" t="s">
        <v>6</v>
      </c>
      <c r="L35" s="8" t="s">
        <v>4</v>
      </c>
      <c r="M35" s="8" t="s">
        <v>10</v>
      </c>
      <c r="N35" s="8" t="s">
        <v>11</v>
      </c>
      <c r="O35" s="8" t="s">
        <v>12</v>
      </c>
      <c r="P35" s="8" t="s">
        <v>13</v>
      </c>
    </row>
    <row r="36" spans="6:16" ht="16" thickBot="1" x14ac:dyDescent="0.4">
      <c r="F36" s="5">
        <v>50</v>
      </c>
      <c r="G36" s="3">
        <v>1</v>
      </c>
      <c r="H36" s="3">
        <v>5.0907000000000001E-2</v>
      </c>
      <c r="I36" s="3">
        <f>$C$6/H36</f>
        <v>1.0142220126898069</v>
      </c>
      <c r="L36" s="11">
        <v>1</v>
      </c>
      <c r="M36" s="9">
        <v>1.0142220129999999</v>
      </c>
      <c r="N36" s="9">
        <v>1.0105058140000001</v>
      </c>
      <c r="O36" s="9">
        <v>1.0089222550000001</v>
      </c>
      <c r="P36" s="9">
        <v>1.016729649</v>
      </c>
    </row>
    <row r="37" spans="6:16" ht="16" thickBot="1" x14ac:dyDescent="0.4">
      <c r="F37" s="4"/>
      <c r="G37" s="3">
        <v>2</v>
      </c>
      <c r="H37" s="3">
        <v>2.5467E-2</v>
      </c>
      <c r="I37" s="3">
        <f t="shared" ref="I37:I42" si="4">$C$6/H37</f>
        <v>2.0273687517179098</v>
      </c>
      <c r="L37" s="11">
        <v>2</v>
      </c>
      <c r="M37" s="10">
        <v>2.0273687520000001</v>
      </c>
      <c r="N37" s="10">
        <v>2.016924527</v>
      </c>
      <c r="O37" s="10">
        <v>2.016101162</v>
      </c>
      <c r="P37" s="10">
        <v>2.0294649169999999</v>
      </c>
    </row>
    <row r="38" spans="6:16" ht="16" thickBot="1" x14ac:dyDescent="0.4">
      <c r="F38" s="4"/>
      <c r="G38" s="3">
        <v>4</v>
      </c>
      <c r="H38" s="3">
        <v>1.2272999999999999E-2</v>
      </c>
      <c r="I38" s="3">
        <f t="shared" si="4"/>
        <v>4.2068768842173885</v>
      </c>
      <c r="L38" s="11">
        <v>4</v>
      </c>
      <c r="M38" s="10">
        <v>4.2068768839999997</v>
      </c>
      <c r="N38" s="10">
        <v>4.1680597260000001</v>
      </c>
      <c r="O38" s="10">
        <v>4.1806188930000001</v>
      </c>
      <c r="P38" s="10">
        <v>4.2012036430000004</v>
      </c>
    </row>
    <row r="39" spans="6:16" ht="16" thickBot="1" x14ac:dyDescent="0.4">
      <c r="F39" s="4"/>
      <c r="G39" s="3">
        <v>8</v>
      </c>
      <c r="H39" s="3">
        <v>5.6899999999999997E-3</v>
      </c>
      <c r="I39" s="3">
        <f t="shared" si="4"/>
        <v>9.0739894551845346</v>
      </c>
      <c r="L39" s="11">
        <v>8</v>
      </c>
      <c r="M39" s="10">
        <v>9.0739894549999995</v>
      </c>
      <c r="N39" s="10">
        <v>9.2646103899999996</v>
      </c>
      <c r="O39" s="10">
        <v>9.2617716039999998</v>
      </c>
      <c r="P39" s="10">
        <v>9.1901796830000002</v>
      </c>
    </row>
    <row r="40" spans="6:16" ht="16" thickBot="1" x14ac:dyDescent="0.4">
      <c r="F40" s="4"/>
      <c r="G40" s="3">
        <v>16</v>
      </c>
      <c r="H40" s="3">
        <v>3.457E-3</v>
      </c>
      <c r="I40" s="3">
        <f t="shared" si="4"/>
        <v>14.935203934046863</v>
      </c>
      <c r="L40" s="11">
        <v>16</v>
      </c>
      <c r="M40" s="10">
        <v>14.93520393</v>
      </c>
      <c r="N40" s="10">
        <v>15.35515695</v>
      </c>
      <c r="O40" s="10">
        <v>15.86464771</v>
      </c>
      <c r="P40" s="10">
        <v>16.32680152</v>
      </c>
    </row>
    <row r="41" spans="6:16" ht="16" thickBot="1" x14ac:dyDescent="0.4">
      <c r="F41" s="4"/>
      <c r="G41" s="3">
        <v>32</v>
      </c>
      <c r="H41" s="3">
        <v>2E-3</v>
      </c>
      <c r="I41" s="3">
        <f t="shared" si="4"/>
        <v>25.8155</v>
      </c>
      <c r="L41" s="11">
        <v>32</v>
      </c>
      <c r="M41" s="10">
        <v>25.8155</v>
      </c>
      <c r="N41" s="10">
        <v>21.401250000000001</v>
      </c>
      <c r="O41" s="10">
        <v>24.51671442</v>
      </c>
      <c r="P41" s="10">
        <v>16.530560000000001</v>
      </c>
    </row>
    <row r="42" spans="6:16" ht="16" thickBot="1" x14ac:dyDescent="0.4">
      <c r="F42" s="6"/>
      <c r="G42" s="3">
        <v>64</v>
      </c>
      <c r="H42" s="3">
        <v>3.9139999999999999E-3</v>
      </c>
      <c r="I42" s="3">
        <f t="shared" si="4"/>
        <v>13.191364333163005</v>
      </c>
      <c r="L42" s="11">
        <v>64</v>
      </c>
      <c r="M42" s="10">
        <v>13.191364330000001</v>
      </c>
      <c r="N42" s="10">
        <v>17.288118480000001</v>
      </c>
      <c r="O42" s="10">
        <v>22.605900479999999</v>
      </c>
      <c r="P42" s="10">
        <v>20.410114579999998</v>
      </c>
    </row>
    <row r="43" spans="6:16" ht="16" thickBot="1" x14ac:dyDescent="0.4">
      <c r="F43" s="5">
        <v>100</v>
      </c>
      <c r="G43" s="3">
        <v>1</v>
      </c>
      <c r="H43" s="3">
        <v>5.0828999999999999E-2</v>
      </c>
      <c r="I43" s="3">
        <f>$C$7/H43</f>
        <v>1.0105058136103406</v>
      </c>
    </row>
    <row r="44" spans="6:16" ht="16" thickBot="1" x14ac:dyDescent="0.4">
      <c r="F44" s="4"/>
      <c r="G44" s="3">
        <v>2</v>
      </c>
      <c r="H44" s="3">
        <v>2.5465999999999999E-2</v>
      </c>
      <c r="I44" s="3">
        <f t="shared" ref="I44:I49" si="5">$C$7/H44</f>
        <v>2.0169245268200737</v>
      </c>
    </row>
    <row r="45" spans="6:16" ht="16" thickBot="1" x14ac:dyDescent="0.4">
      <c r="F45" s="4"/>
      <c r="G45" s="3">
        <v>4</v>
      </c>
      <c r="H45" s="3">
        <v>1.2323000000000001E-2</v>
      </c>
      <c r="I45" s="3">
        <f t="shared" si="5"/>
        <v>4.16805972571614</v>
      </c>
    </row>
    <row r="46" spans="6:16" ht="16" thickBot="1" x14ac:dyDescent="0.4">
      <c r="F46" s="4"/>
      <c r="G46" s="3">
        <v>8</v>
      </c>
      <c r="H46" s="3">
        <v>5.5440000000000003E-3</v>
      </c>
      <c r="I46" s="3">
        <f t="shared" si="5"/>
        <v>9.2646103896103895</v>
      </c>
    </row>
    <row r="47" spans="6:16" ht="16" thickBot="1" x14ac:dyDescent="0.4">
      <c r="F47" s="4"/>
      <c r="G47" s="3">
        <v>16</v>
      </c>
      <c r="H47" s="3">
        <v>3.3449999999999999E-3</v>
      </c>
      <c r="I47" s="3">
        <f t="shared" si="5"/>
        <v>15.355156950672646</v>
      </c>
    </row>
    <row r="48" spans="6:16" ht="16" thickBot="1" x14ac:dyDescent="0.4">
      <c r="F48" s="4"/>
      <c r="G48" s="3">
        <v>32</v>
      </c>
      <c r="H48" s="3">
        <v>2.3999999999999998E-3</v>
      </c>
      <c r="I48" s="3">
        <f t="shared" si="5"/>
        <v>21.401250000000001</v>
      </c>
    </row>
    <row r="49" spans="6:9" ht="16" thickBot="1" x14ac:dyDescent="0.4">
      <c r="F49" s="6"/>
      <c r="G49" s="3">
        <v>64</v>
      </c>
      <c r="H49" s="3">
        <v>2.9710000000000001E-3</v>
      </c>
      <c r="I49" s="3">
        <f t="shared" si="5"/>
        <v>17.288118478626725</v>
      </c>
    </row>
    <row r="50" spans="6:9" ht="16" thickBot="1" x14ac:dyDescent="0.4">
      <c r="F50" s="5">
        <v>200</v>
      </c>
      <c r="G50" s="3">
        <v>1</v>
      </c>
      <c r="H50" s="3">
        <v>5.0883999999999999E-2</v>
      </c>
      <c r="I50" s="3">
        <f>$C$8/H50</f>
        <v>1.0089222545397376</v>
      </c>
    </row>
    <row r="51" spans="6:9" ht="16" thickBot="1" x14ac:dyDescent="0.4">
      <c r="F51" s="4"/>
      <c r="G51" s="3">
        <v>2</v>
      </c>
      <c r="H51" s="3">
        <v>2.5464000000000001E-2</v>
      </c>
      <c r="I51" s="3">
        <f t="shared" ref="I51:I56" si="6">$C$8/H51</f>
        <v>2.0161011624253851</v>
      </c>
    </row>
    <row r="52" spans="6:9" ht="16" thickBot="1" x14ac:dyDescent="0.4">
      <c r="F52" s="4"/>
      <c r="G52" s="3">
        <v>4</v>
      </c>
      <c r="H52" s="3">
        <v>1.2279999999999999E-2</v>
      </c>
      <c r="I52" s="3">
        <f t="shared" si="6"/>
        <v>4.1806188925081438</v>
      </c>
    </row>
    <row r="53" spans="6:9" ht="16" thickBot="1" x14ac:dyDescent="0.4">
      <c r="F53" s="4"/>
      <c r="G53" s="3">
        <v>8</v>
      </c>
      <c r="H53" s="3">
        <v>5.5430000000000002E-3</v>
      </c>
      <c r="I53" s="3">
        <f t="shared" si="6"/>
        <v>9.2617716038246432</v>
      </c>
    </row>
    <row r="54" spans="6:9" ht="16" thickBot="1" x14ac:dyDescent="0.4">
      <c r="F54" s="4"/>
      <c r="G54" s="3">
        <v>16</v>
      </c>
      <c r="H54" s="3">
        <v>3.2360000000000002E-3</v>
      </c>
      <c r="I54" s="3">
        <f t="shared" si="6"/>
        <v>15.864647713226205</v>
      </c>
    </row>
    <row r="55" spans="6:9" ht="16" thickBot="1" x14ac:dyDescent="0.4">
      <c r="F55" s="4"/>
      <c r="G55" s="3">
        <v>32</v>
      </c>
      <c r="H55" s="3">
        <v>2.0939999999999999E-3</v>
      </c>
      <c r="I55" s="3">
        <f t="shared" si="6"/>
        <v>24.51671442215855</v>
      </c>
    </row>
    <row r="56" spans="6:9" ht="16" thickBot="1" x14ac:dyDescent="0.4">
      <c r="F56" s="6"/>
      <c r="G56" s="3">
        <v>64</v>
      </c>
      <c r="H56" s="3">
        <v>2.271E-3</v>
      </c>
      <c r="I56" s="3">
        <f t="shared" si="6"/>
        <v>22.605900484368121</v>
      </c>
    </row>
    <row r="57" spans="6:9" ht="16" thickBot="1" x14ac:dyDescent="0.4">
      <c r="F57" s="5">
        <v>500</v>
      </c>
      <c r="G57" s="3">
        <v>1</v>
      </c>
      <c r="H57" s="3">
        <v>5.0807999999999999E-2</v>
      </c>
      <c r="I57" s="3">
        <f>$C$9/H57</f>
        <v>1.016729648874193</v>
      </c>
    </row>
    <row r="58" spans="6:9" ht="16" thickBot="1" x14ac:dyDescent="0.4">
      <c r="F58" s="4"/>
      <c r="G58" s="3">
        <v>2</v>
      </c>
      <c r="H58" s="3">
        <v>2.5454000000000001E-2</v>
      </c>
      <c r="I58" s="3">
        <f t="shared" ref="I58:I63" si="7">$C$9/H58</f>
        <v>2.0294649171053667</v>
      </c>
    </row>
    <row r="59" spans="6:9" ht="16" thickBot="1" x14ac:dyDescent="0.4">
      <c r="F59" s="4"/>
      <c r="G59" s="3">
        <v>4</v>
      </c>
      <c r="H59" s="3">
        <v>1.2296E-2</v>
      </c>
      <c r="I59" s="3">
        <f t="shared" si="7"/>
        <v>4.2012036434612883</v>
      </c>
    </row>
    <row r="60" spans="6:9" ht="16" thickBot="1" x14ac:dyDescent="0.4">
      <c r="F60" s="4"/>
      <c r="G60" s="3">
        <v>8</v>
      </c>
      <c r="H60" s="3">
        <v>5.6210000000000001E-3</v>
      </c>
      <c r="I60" s="3">
        <f t="shared" si="7"/>
        <v>9.1901796833303688</v>
      </c>
    </row>
    <row r="61" spans="6:9" ht="16" thickBot="1" x14ac:dyDescent="0.4">
      <c r="F61" s="4"/>
      <c r="G61" s="3">
        <v>16</v>
      </c>
      <c r="H61" s="3">
        <v>3.1640000000000001E-3</v>
      </c>
      <c r="I61" s="3">
        <f t="shared" si="7"/>
        <v>16.326801517067004</v>
      </c>
    </row>
    <row r="62" spans="6:9" ht="16" thickBot="1" x14ac:dyDescent="0.4">
      <c r="F62" s="4"/>
      <c r="G62" s="3">
        <v>32</v>
      </c>
      <c r="H62" s="3">
        <v>3.1250000000000002E-3</v>
      </c>
      <c r="I62" s="3">
        <f t="shared" si="7"/>
        <v>16.530560000000001</v>
      </c>
    </row>
    <row r="63" spans="6:9" ht="16" thickBot="1" x14ac:dyDescent="0.4">
      <c r="F63" s="6"/>
      <c r="G63" s="3">
        <v>64</v>
      </c>
      <c r="H63" s="3">
        <v>2.5309999999999998E-3</v>
      </c>
      <c r="I63" s="3">
        <f t="shared" si="7"/>
        <v>20.410114579217701</v>
      </c>
    </row>
    <row r="64" spans="6:9" ht="15.5" x14ac:dyDescent="0.35">
      <c r="F64" s="7"/>
    </row>
    <row r="65" spans="6:16" ht="46.5" x14ac:dyDescent="0.35">
      <c r="F65" s="7" t="s">
        <v>8</v>
      </c>
    </row>
    <row r="66" spans="6:16" ht="16" thickBot="1" x14ac:dyDescent="0.4">
      <c r="F66" s="7"/>
    </row>
    <row r="67" spans="6:16" ht="16" thickBot="1" x14ac:dyDescent="0.4">
      <c r="F67" s="1" t="s">
        <v>1</v>
      </c>
      <c r="G67" s="2" t="s">
        <v>4</v>
      </c>
      <c r="H67" s="2" t="s">
        <v>5</v>
      </c>
      <c r="I67" s="2" t="s">
        <v>6</v>
      </c>
      <c r="L67" s="8" t="s">
        <v>4</v>
      </c>
      <c r="M67" s="8" t="s">
        <v>10</v>
      </c>
      <c r="N67" s="8" t="s">
        <v>11</v>
      </c>
      <c r="O67" s="8" t="s">
        <v>12</v>
      </c>
      <c r="P67" s="8" t="s">
        <v>13</v>
      </c>
    </row>
    <row r="68" spans="6:16" ht="16" thickBot="1" x14ac:dyDescent="0.4">
      <c r="F68" s="5">
        <v>50</v>
      </c>
      <c r="G68" s="3">
        <v>1</v>
      </c>
      <c r="H68" s="3">
        <v>0.21104600000000001</v>
      </c>
      <c r="I68" s="3">
        <f>$C$10/H68</f>
        <v>1.1345678193379642</v>
      </c>
      <c r="L68" s="11">
        <v>1</v>
      </c>
      <c r="M68" s="9">
        <v>1.1345678189999999</v>
      </c>
      <c r="N68" s="9">
        <v>1.1340575070000001</v>
      </c>
      <c r="O68" s="9">
        <v>1.1336764459999999</v>
      </c>
      <c r="P68" s="9">
        <v>1.1331847070000001</v>
      </c>
    </row>
    <row r="69" spans="6:16" ht="16" thickBot="1" x14ac:dyDescent="0.4">
      <c r="F69" s="4"/>
      <c r="G69" s="3">
        <v>2</v>
      </c>
      <c r="H69" s="3">
        <v>0.10760599999999999</v>
      </c>
      <c r="I69" s="3">
        <f t="shared" ref="I69:I74" si="8">$C$10/H69</f>
        <v>2.225210490121369</v>
      </c>
      <c r="L69" s="11">
        <v>2</v>
      </c>
      <c r="M69" s="10">
        <v>2.2252104899999998</v>
      </c>
      <c r="N69" s="10">
        <v>2.2186818189999999</v>
      </c>
      <c r="O69" s="10">
        <v>2.2205952039999999</v>
      </c>
      <c r="P69" s="10">
        <v>2.2170479329999999</v>
      </c>
    </row>
    <row r="70" spans="6:16" ht="16" thickBot="1" x14ac:dyDescent="0.4">
      <c r="F70" s="4"/>
      <c r="G70" s="3">
        <v>4</v>
      </c>
      <c r="H70" s="3">
        <v>5.3303999999999997E-2</v>
      </c>
      <c r="I70" s="3">
        <f t="shared" si="8"/>
        <v>4.4920831457301515</v>
      </c>
      <c r="L70" s="11">
        <v>4</v>
      </c>
      <c r="M70" s="10">
        <v>4.4920831459999997</v>
      </c>
      <c r="N70" s="10">
        <v>4.4721998689999998</v>
      </c>
      <c r="O70" s="10">
        <v>4.4538118930000001</v>
      </c>
      <c r="P70" s="10">
        <v>4.46613449</v>
      </c>
    </row>
    <row r="71" spans="6:16" ht="16" thickBot="1" x14ac:dyDescent="0.4">
      <c r="F71" s="4"/>
      <c r="G71" s="3">
        <v>8</v>
      </c>
      <c r="H71" s="3">
        <v>2.7479E-2</v>
      </c>
      <c r="I71" s="3">
        <f t="shared" si="8"/>
        <v>8.713781433094363</v>
      </c>
      <c r="L71" s="11">
        <v>8</v>
      </c>
      <c r="M71" s="10">
        <v>8.7137814329999994</v>
      </c>
      <c r="N71" s="10">
        <v>8.7231976640000006</v>
      </c>
      <c r="O71" s="10">
        <v>8.7215268399999992</v>
      </c>
      <c r="P71" s="10">
        <v>8.7122278550000001</v>
      </c>
    </row>
    <row r="72" spans="6:16" ht="16" thickBot="1" x14ac:dyDescent="0.4">
      <c r="F72" s="4"/>
      <c r="G72" s="3">
        <v>16</v>
      </c>
      <c r="H72" s="3">
        <v>1.5389E-2</v>
      </c>
      <c r="I72" s="3">
        <f t="shared" si="8"/>
        <v>15.559555526674897</v>
      </c>
      <c r="L72" s="11">
        <v>16</v>
      </c>
      <c r="M72" s="10">
        <v>15.559555530000001</v>
      </c>
      <c r="N72" s="10">
        <v>15.53683116</v>
      </c>
      <c r="O72" s="10">
        <v>15.40716864</v>
      </c>
      <c r="P72" s="10">
        <v>15.515879719999999</v>
      </c>
    </row>
    <row r="73" spans="6:16" ht="16" thickBot="1" x14ac:dyDescent="0.4">
      <c r="F73" s="4"/>
      <c r="G73" s="3">
        <v>32</v>
      </c>
      <c r="H73" s="3">
        <v>8.3789999999999993E-3</v>
      </c>
      <c r="I73" s="3">
        <f t="shared" si="8"/>
        <v>28.576918486692925</v>
      </c>
      <c r="L73" s="11">
        <v>32</v>
      </c>
      <c r="M73" s="10">
        <v>28.576918490000001</v>
      </c>
      <c r="N73" s="10">
        <v>28.197286139999999</v>
      </c>
      <c r="O73" s="10">
        <v>28.110562219999998</v>
      </c>
      <c r="P73" s="10">
        <v>28.3323055</v>
      </c>
    </row>
    <row r="74" spans="6:16" ht="16" thickBot="1" x14ac:dyDescent="0.4">
      <c r="F74" s="6"/>
      <c r="G74" s="3">
        <v>64</v>
      </c>
      <c r="H74" s="3">
        <v>1.0357E-2</v>
      </c>
      <c r="I74" s="3">
        <f t="shared" si="8"/>
        <v>23.119243024041712</v>
      </c>
      <c r="L74" s="11">
        <v>64</v>
      </c>
      <c r="M74" s="10">
        <v>23.119243019999999</v>
      </c>
      <c r="N74" s="10">
        <v>21.40175533</v>
      </c>
      <c r="O74" s="10">
        <v>22.34233897</v>
      </c>
      <c r="P74" s="10">
        <v>23.34356068</v>
      </c>
    </row>
    <row r="75" spans="6:16" ht="16" thickBot="1" x14ac:dyDescent="0.4">
      <c r="F75" s="5">
        <v>100</v>
      </c>
      <c r="G75" s="3">
        <v>1</v>
      </c>
      <c r="H75" s="3">
        <v>0.21072299999999999</v>
      </c>
      <c r="I75" s="3">
        <f>$C$11/H75</f>
        <v>1.1340575067742962</v>
      </c>
    </row>
    <row r="76" spans="6:16" ht="16" thickBot="1" x14ac:dyDescent="0.4">
      <c r="F76" s="4"/>
      <c r="G76" s="3">
        <v>2</v>
      </c>
      <c r="H76" s="3">
        <v>0.107709</v>
      </c>
      <c r="I76" s="3">
        <f t="shared" ref="I76:I81" si="9">$C$11/H76</f>
        <v>2.2186818186038306</v>
      </c>
    </row>
    <row r="77" spans="6:16" ht="16" thickBot="1" x14ac:dyDescent="0.4">
      <c r="F77" s="4"/>
      <c r="G77" s="3">
        <v>4</v>
      </c>
      <c r="H77" s="3">
        <v>5.3435000000000003E-2</v>
      </c>
      <c r="I77" s="3">
        <f t="shared" si="9"/>
        <v>4.4721998689997191</v>
      </c>
    </row>
    <row r="78" spans="6:16" ht="16" thickBot="1" x14ac:dyDescent="0.4">
      <c r="F78" s="4"/>
      <c r="G78" s="3">
        <v>8</v>
      </c>
      <c r="H78" s="3">
        <v>2.7394999999999999E-2</v>
      </c>
      <c r="I78" s="3">
        <f t="shared" si="9"/>
        <v>8.7231976638072641</v>
      </c>
    </row>
    <row r="79" spans="6:16" ht="16" thickBot="1" x14ac:dyDescent="0.4">
      <c r="F79" s="4"/>
      <c r="G79" s="3">
        <v>16</v>
      </c>
      <c r="H79" s="3">
        <v>1.5381000000000001E-2</v>
      </c>
      <c r="I79" s="3">
        <f t="shared" si="9"/>
        <v>15.536831155321499</v>
      </c>
    </row>
    <row r="80" spans="6:16" ht="16" thickBot="1" x14ac:dyDescent="0.4">
      <c r="F80" s="4"/>
      <c r="G80" s="3">
        <v>32</v>
      </c>
      <c r="H80" s="3">
        <v>8.4749999999999999E-3</v>
      </c>
      <c r="I80" s="3">
        <f t="shared" si="9"/>
        <v>28.197286135693215</v>
      </c>
    </row>
    <row r="81" spans="6:9" ht="16" thickBot="1" x14ac:dyDescent="0.4">
      <c r="F81" s="6"/>
      <c r="G81" s="3">
        <v>64</v>
      </c>
      <c r="H81" s="3">
        <v>1.1166000000000001E-2</v>
      </c>
      <c r="I81" s="3">
        <f t="shared" si="9"/>
        <v>21.401755328676337</v>
      </c>
    </row>
    <row r="82" spans="6:9" ht="16" thickBot="1" x14ac:dyDescent="0.4">
      <c r="F82" s="5">
        <v>200</v>
      </c>
      <c r="G82" s="3">
        <v>1</v>
      </c>
      <c r="H82" s="3">
        <v>0.210815</v>
      </c>
      <c r="I82" s="3">
        <f>$C$12/H82</f>
        <v>1.133676446173185</v>
      </c>
    </row>
    <row r="83" spans="6:9" ht="16" thickBot="1" x14ac:dyDescent="0.4">
      <c r="F83" s="4"/>
      <c r="G83" s="3">
        <v>2</v>
      </c>
      <c r="H83" s="3">
        <v>0.107627</v>
      </c>
      <c r="I83" s="3">
        <f t="shared" ref="I83:I88" si="10">$C$12/H83</f>
        <v>2.2205952038057362</v>
      </c>
    </row>
    <row r="84" spans="6:9" ht="16" thickBot="1" x14ac:dyDescent="0.4">
      <c r="F84" s="4"/>
      <c r="G84" s="3">
        <v>4</v>
      </c>
      <c r="H84" s="3">
        <v>5.3661E-2</v>
      </c>
      <c r="I84" s="3">
        <f t="shared" si="10"/>
        <v>4.4538118931812676</v>
      </c>
    </row>
    <row r="85" spans="6:9" ht="16" thickBot="1" x14ac:dyDescent="0.4">
      <c r="F85" s="4"/>
      <c r="G85" s="3">
        <v>8</v>
      </c>
      <c r="H85" s="3">
        <v>2.7403E-2</v>
      </c>
      <c r="I85" s="3">
        <f t="shared" si="10"/>
        <v>8.7215268401269928</v>
      </c>
    </row>
    <row r="86" spans="6:9" ht="16" thickBot="1" x14ac:dyDescent="0.4">
      <c r="F86" s="4"/>
      <c r="G86" s="3">
        <v>16</v>
      </c>
      <c r="H86" s="3">
        <v>1.5512E-2</v>
      </c>
      <c r="I86" s="3">
        <f t="shared" si="10"/>
        <v>15.407168643630737</v>
      </c>
    </row>
    <row r="87" spans="6:9" ht="16" thickBot="1" x14ac:dyDescent="0.4">
      <c r="F87" s="4"/>
      <c r="G87" s="3">
        <v>32</v>
      </c>
      <c r="H87" s="3">
        <v>8.5019999999999991E-3</v>
      </c>
      <c r="I87" s="3">
        <f t="shared" si="10"/>
        <v>28.110562220653964</v>
      </c>
    </row>
    <row r="88" spans="6:9" ht="16" thickBot="1" x14ac:dyDescent="0.4">
      <c r="F88" s="6"/>
      <c r="G88" s="3">
        <v>64</v>
      </c>
      <c r="H88" s="3">
        <v>1.0697E-2</v>
      </c>
      <c r="I88" s="3">
        <f t="shared" si="10"/>
        <v>22.342338973543985</v>
      </c>
    </row>
    <row r="89" spans="6:9" ht="16" thickBot="1" x14ac:dyDescent="0.4">
      <c r="F89" s="5">
        <v>500</v>
      </c>
      <c r="G89" s="3">
        <v>1</v>
      </c>
      <c r="H89" s="3">
        <v>0.21082000000000001</v>
      </c>
      <c r="I89" s="3">
        <f>$C$13/H89</f>
        <v>1.1331847073332701</v>
      </c>
    </row>
    <row r="90" spans="6:9" ht="16" thickBot="1" x14ac:dyDescent="0.4">
      <c r="F90" s="4"/>
      <c r="G90" s="3">
        <v>2</v>
      </c>
      <c r="H90" s="3">
        <v>0.107755</v>
      </c>
      <c r="I90" s="3">
        <f t="shared" ref="I90:I95" si="11">$C$13/H90</f>
        <v>2.2170479328105421</v>
      </c>
    </row>
    <row r="91" spans="6:9" ht="16" thickBot="1" x14ac:dyDescent="0.4">
      <c r="F91" s="4"/>
      <c r="G91" s="3">
        <v>4</v>
      </c>
      <c r="H91" s="3">
        <v>5.3490999999999997E-2</v>
      </c>
      <c r="I91" s="3">
        <f t="shared" si="11"/>
        <v>4.4661344899141913</v>
      </c>
    </row>
    <row r="92" spans="6:9" ht="16" thickBot="1" x14ac:dyDescent="0.4">
      <c r="F92" s="4"/>
      <c r="G92" s="3">
        <v>8</v>
      </c>
      <c r="H92" s="3">
        <v>2.7421000000000001E-2</v>
      </c>
      <c r="I92" s="3">
        <f t="shared" si="11"/>
        <v>8.7122278545640199</v>
      </c>
    </row>
    <row r="93" spans="6:9" ht="16" thickBot="1" x14ac:dyDescent="0.4">
      <c r="F93" s="4"/>
      <c r="G93" s="3">
        <v>16</v>
      </c>
      <c r="H93" s="3">
        <v>1.5396999999999999E-2</v>
      </c>
      <c r="I93" s="3">
        <f t="shared" si="11"/>
        <v>15.515879716827953</v>
      </c>
    </row>
    <row r="94" spans="6:9" ht="16" thickBot="1" x14ac:dyDescent="0.4">
      <c r="F94" s="4"/>
      <c r="G94" s="3">
        <v>32</v>
      </c>
      <c r="H94" s="3">
        <v>8.4320000000000003E-3</v>
      </c>
      <c r="I94" s="3">
        <f t="shared" si="11"/>
        <v>28.3323055028463</v>
      </c>
    </row>
    <row r="95" spans="6:9" ht="16" thickBot="1" x14ac:dyDescent="0.4">
      <c r="F95" s="6"/>
      <c r="G95" s="3">
        <v>64</v>
      </c>
      <c r="H95" s="3">
        <v>1.0234E-2</v>
      </c>
      <c r="I95" s="3">
        <f t="shared" si="11"/>
        <v>23.343560680085989</v>
      </c>
    </row>
    <row r="96" spans="6:9" ht="15.5" x14ac:dyDescent="0.35">
      <c r="F96" s="7"/>
    </row>
    <row r="97" spans="6:16" ht="15.5" x14ac:dyDescent="0.35">
      <c r="F97" s="7"/>
    </row>
    <row r="98" spans="6:16" ht="46.5" x14ac:dyDescent="0.35">
      <c r="F98" s="7" t="s">
        <v>9</v>
      </c>
    </row>
    <row r="99" spans="6:16" ht="16" thickBot="1" x14ac:dyDescent="0.4">
      <c r="F99" s="7"/>
    </row>
    <row r="100" spans="6:16" ht="16" thickBot="1" x14ac:dyDescent="0.4">
      <c r="F100" s="1" t="s">
        <v>1</v>
      </c>
      <c r="G100" s="2" t="s">
        <v>4</v>
      </c>
      <c r="H100" s="2" t="s">
        <v>5</v>
      </c>
      <c r="I100" s="2" t="s">
        <v>6</v>
      </c>
      <c r="L100" s="8" t="s">
        <v>4</v>
      </c>
      <c r="M100" s="8" t="s">
        <v>10</v>
      </c>
      <c r="N100" s="8" t="s">
        <v>11</v>
      </c>
      <c r="O100" s="8" t="s">
        <v>12</v>
      </c>
      <c r="P100" s="8" t="s">
        <v>13</v>
      </c>
    </row>
    <row r="101" spans="6:16" ht="16" thickBot="1" x14ac:dyDescent="0.4">
      <c r="F101" s="5">
        <v>50</v>
      </c>
      <c r="G101" s="3">
        <v>1</v>
      </c>
      <c r="H101" s="3">
        <v>0.90476800000000002</v>
      </c>
      <c r="I101" s="3">
        <f>$C$14/H101</f>
        <v>0.9959735534413241</v>
      </c>
      <c r="L101" s="11">
        <v>1</v>
      </c>
      <c r="M101" s="9">
        <v>0.99597355300000001</v>
      </c>
      <c r="N101" s="9">
        <v>0.98747195200000004</v>
      </c>
      <c r="O101" s="9">
        <v>0.97931613399999995</v>
      </c>
      <c r="P101" s="9">
        <v>0.97249686099999999</v>
      </c>
    </row>
    <row r="102" spans="6:16" ht="16" thickBot="1" x14ac:dyDescent="0.4">
      <c r="F102" s="4"/>
      <c r="G102" s="3">
        <v>2</v>
      </c>
      <c r="H102" s="3">
        <v>0.46127899999999999</v>
      </c>
      <c r="I102" s="3">
        <f t="shared" ref="I102:I107" si="12">$C$14/H102</f>
        <v>1.9535357126598001</v>
      </c>
      <c r="L102" s="11">
        <v>2</v>
      </c>
      <c r="M102" s="10">
        <v>1.953535713</v>
      </c>
      <c r="N102" s="10">
        <v>1.9392789539999999</v>
      </c>
      <c r="O102" s="10">
        <v>1.912983957</v>
      </c>
      <c r="P102" s="10">
        <v>1.8906783920000001</v>
      </c>
    </row>
    <row r="103" spans="6:16" ht="16" thickBot="1" x14ac:dyDescent="0.4">
      <c r="F103" s="4"/>
      <c r="G103" s="3">
        <v>4</v>
      </c>
      <c r="H103" s="3">
        <v>0.218579</v>
      </c>
      <c r="I103" s="3">
        <f t="shared" si="12"/>
        <v>4.1226513068501545</v>
      </c>
      <c r="L103" s="11">
        <v>4</v>
      </c>
      <c r="M103" s="10">
        <v>4.1226513069999999</v>
      </c>
      <c r="N103" s="10">
        <v>4.0894093089999997</v>
      </c>
      <c r="O103" s="10">
        <v>4.069422221</v>
      </c>
      <c r="P103" s="10">
        <v>4.0212456689999998</v>
      </c>
    </row>
    <row r="104" spans="6:16" ht="16" thickBot="1" x14ac:dyDescent="0.4">
      <c r="F104" s="4"/>
      <c r="G104" s="3">
        <v>8</v>
      </c>
      <c r="H104" s="3">
        <v>0.111515</v>
      </c>
      <c r="I104" s="3">
        <f t="shared" si="12"/>
        <v>8.0807514684123198</v>
      </c>
      <c r="L104" s="11">
        <v>8</v>
      </c>
      <c r="M104" s="10">
        <v>8.0807514680000008</v>
      </c>
      <c r="N104" s="10">
        <v>8.0126644720000009</v>
      </c>
      <c r="O104" s="10">
        <v>7.9913902229999998</v>
      </c>
      <c r="P104" s="10">
        <v>7.895958426</v>
      </c>
    </row>
    <row r="105" spans="6:16" ht="16" thickBot="1" x14ac:dyDescent="0.4">
      <c r="F105" s="4"/>
      <c r="G105" s="3">
        <v>16</v>
      </c>
      <c r="H105" s="3">
        <v>6.3541E-2</v>
      </c>
      <c r="I105" s="3">
        <f t="shared" si="12"/>
        <v>14.181788136793566</v>
      </c>
      <c r="L105" s="11">
        <v>16</v>
      </c>
      <c r="M105" s="10">
        <v>14.18178814</v>
      </c>
      <c r="N105" s="10">
        <v>14.09367851</v>
      </c>
      <c r="O105" s="10">
        <v>14.036885180000001</v>
      </c>
      <c r="P105" s="10">
        <v>13.9140557</v>
      </c>
    </row>
    <row r="106" spans="6:16" ht="16" thickBot="1" x14ac:dyDescent="0.4">
      <c r="F106" s="4"/>
      <c r="G106" s="3">
        <v>32</v>
      </c>
      <c r="H106" s="3">
        <v>5.7533000000000001E-2</v>
      </c>
      <c r="I106" s="3">
        <f t="shared" si="12"/>
        <v>15.662750073870647</v>
      </c>
      <c r="L106" s="11">
        <v>32</v>
      </c>
      <c r="M106" s="10">
        <v>15.66275007</v>
      </c>
      <c r="N106" s="10">
        <v>15.605016770000001</v>
      </c>
      <c r="O106" s="10">
        <v>15.441961729999999</v>
      </c>
      <c r="P106" s="10">
        <v>15.24950598</v>
      </c>
    </row>
    <row r="107" spans="6:16" ht="16" thickBot="1" x14ac:dyDescent="0.4">
      <c r="F107" s="6"/>
      <c r="G107" s="3">
        <v>64</v>
      </c>
      <c r="H107" s="3">
        <v>6.8135000000000001E-2</v>
      </c>
      <c r="I107" s="3">
        <f t="shared" si="12"/>
        <v>13.225581566008659</v>
      </c>
      <c r="L107" s="11">
        <v>64</v>
      </c>
      <c r="M107" s="10">
        <v>13.225581569999999</v>
      </c>
      <c r="N107" s="10">
        <v>12.67387357</v>
      </c>
      <c r="O107" s="10">
        <v>14.61107007</v>
      </c>
      <c r="P107" s="10">
        <v>12.155189569999999</v>
      </c>
    </row>
    <row r="108" spans="6:16" ht="16" thickBot="1" x14ac:dyDescent="0.4">
      <c r="F108" s="5">
        <v>100</v>
      </c>
      <c r="G108" s="3">
        <v>1</v>
      </c>
      <c r="H108" s="3">
        <v>0.90468999999999999</v>
      </c>
      <c r="I108" s="3">
        <f>$C$15/H108</f>
        <v>0.98747195171826818</v>
      </c>
    </row>
    <row r="109" spans="6:16" ht="16" thickBot="1" x14ac:dyDescent="0.4">
      <c r="F109" s="4"/>
      <c r="G109" s="3">
        <v>2</v>
      </c>
      <c r="H109" s="3">
        <v>0.46066400000000002</v>
      </c>
      <c r="I109" s="3">
        <f t="shared" ref="I109:I114" si="13">$C$15/H109</f>
        <v>1.9392789538579094</v>
      </c>
    </row>
    <row r="110" spans="6:16" ht="16" thickBot="1" x14ac:dyDescent="0.4">
      <c r="F110" s="4"/>
      <c r="G110" s="3">
        <v>4</v>
      </c>
      <c r="H110" s="3">
        <v>0.21845600000000001</v>
      </c>
      <c r="I110" s="3">
        <f t="shared" si="13"/>
        <v>4.0894093089683965</v>
      </c>
    </row>
    <row r="111" spans="6:16" ht="16" thickBot="1" x14ac:dyDescent="0.4">
      <c r="F111" s="4"/>
      <c r="G111" s="3">
        <v>8</v>
      </c>
      <c r="H111" s="3">
        <v>0.11149299999999999</v>
      </c>
      <c r="I111" s="3">
        <f t="shared" si="13"/>
        <v>8.0126644722090177</v>
      </c>
    </row>
    <row r="112" spans="6:16" ht="16" thickBot="1" x14ac:dyDescent="0.4">
      <c r="F112" s="4"/>
      <c r="G112" s="3">
        <v>16</v>
      </c>
      <c r="H112" s="3">
        <v>6.3386999999999999E-2</v>
      </c>
      <c r="I112" s="3">
        <f t="shared" si="13"/>
        <v>14.093678514521907</v>
      </c>
    </row>
    <row r="113" spans="6:9" ht="16" thickBot="1" x14ac:dyDescent="0.4">
      <c r="F113" s="4"/>
      <c r="G113" s="3">
        <v>32</v>
      </c>
      <c r="H113" s="3">
        <v>5.7248E-2</v>
      </c>
      <c r="I113" s="3">
        <f t="shared" si="13"/>
        <v>15.605016769144774</v>
      </c>
    </row>
    <row r="114" spans="6:9" ht="16" thickBot="1" x14ac:dyDescent="0.4">
      <c r="F114" s="6"/>
      <c r="G114" s="3">
        <v>64</v>
      </c>
      <c r="H114" s="3">
        <v>7.0487999999999995E-2</v>
      </c>
      <c r="I114" s="3">
        <f t="shared" si="13"/>
        <v>12.673873567131995</v>
      </c>
    </row>
    <row r="115" spans="6:9" ht="16" thickBot="1" x14ac:dyDescent="0.4">
      <c r="F115" s="5">
        <v>200</v>
      </c>
      <c r="G115" s="3">
        <v>1</v>
      </c>
      <c r="H115" s="3">
        <v>0.90892099999999998</v>
      </c>
      <c r="I115" s="3">
        <f>$C$16/H115</f>
        <v>0.97931613418547936</v>
      </c>
    </row>
    <row r="116" spans="6:9" ht="16" thickBot="1" x14ac:dyDescent="0.4">
      <c r="F116" s="4"/>
      <c r="G116" s="3">
        <v>2</v>
      </c>
      <c r="H116" s="3">
        <v>0.46530500000000002</v>
      </c>
      <c r="I116" s="3">
        <f t="shared" ref="I116:I121" si="14">$C$16/H116</f>
        <v>1.9129839567595448</v>
      </c>
    </row>
    <row r="117" spans="6:9" ht="16" thickBot="1" x14ac:dyDescent="0.4">
      <c r="F117" s="4"/>
      <c r="G117" s="3">
        <v>4</v>
      </c>
      <c r="H117" s="3">
        <v>0.21873400000000001</v>
      </c>
      <c r="I117" s="3">
        <f t="shared" si="14"/>
        <v>4.0694222205967066</v>
      </c>
    </row>
    <row r="118" spans="6:9" ht="16" thickBot="1" x14ac:dyDescent="0.4">
      <c r="F118" s="4"/>
      <c r="G118" s="3">
        <v>8</v>
      </c>
      <c r="H118" s="3">
        <v>0.111385</v>
      </c>
      <c r="I118" s="3">
        <f t="shared" si="14"/>
        <v>7.9913902231000593</v>
      </c>
    </row>
    <row r="119" spans="6:9" ht="16" thickBot="1" x14ac:dyDescent="0.4">
      <c r="F119" s="4"/>
      <c r="G119" s="3">
        <v>16</v>
      </c>
      <c r="H119" s="3">
        <v>6.3412999999999997E-2</v>
      </c>
      <c r="I119" s="3">
        <f t="shared" si="14"/>
        <v>14.03688518127198</v>
      </c>
    </row>
    <row r="120" spans="6:9" ht="16" thickBot="1" x14ac:dyDescent="0.4">
      <c r="F120" s="4"/>
      <c r="G120" s="3">
        <v>32</v>
      </c>
      <c r="H120" s="3">
        <v>5.7643E-2</v>
      </c>
      <c r="I120" s="3">
        <f t="shared" si="14"/>
        <v>15.441961729958539</v>
      </c>
    </row>
    <row r="121" spans="6:9" ht="16" thickBot="1" x14ac:dyDescent="0.4">
      <c r="F121" s="6"/>
      <c r="G121" s="3">
        <v>64</v>
      </c>
      <c r="H121" s="3">
        <v>6.0921000000000003E-2</v>
      </c>
      <c r="I121" s="3">
        <f t="shared" si="14"/>
        <v>14.611070074358596</v>
      </c>
    </row>
    <row r="122" spans="6:9" ht="16" thickBot="1" x14ac:dyDescent="0.4">
      <c r="F122" s="5">
        <v>500</v>
      </c>
      <c r="G122" s="3">
        <v>1</v>
      </c>
      <c r="H122" s="3">
        <v>0.90462399999999998</v>
      </c>
      <c r="I122" s="3">
        <f>$C$17/H122</f>
        <v>0.97249686057411699</v>
      </c>
    </row>
    <row r="123" spans="6:9" ht="16" thickBot="1" x14ac:dyDescent="0.4">
      <c r="F123" s="4"/>
      <c r="G123" s="3">
        <v>2</v>
      </c>
      <c r="H123" s="3">
        <v>0.465306</v>
      </c>
      <c r="I123" s="3">
        <f t="shared" ref="I123:I128" si="15">$C$17/H123</f>
        <v>1.8906783922837873</v>
      </c>
    </row>
    <row r="124" spans="6:9" ht="16" thickBot="1" x14ac:dyDescent="0.4">
      <c r="F124" s="4"/>
      <c r="G124" s="3">
        <v>4</v>
      </c>
      <c r="H124" s="3">
        <v>0.218774</v>
      </c>
      <c r="I124" s="3">
        <f t="shared" si="15"/>
        <v>4.0212456690465963</v>
      </c>
    </row>
    <row r="125" spans="6:9" ht="16" thickBot="1" x14ac:dyDescent="0.4">
      <c r="F125" s="4"/>
      <c r="G125" s="3">
        <v>8</v>
      </c>
      <c r="H125" s="3">
        <v>0.111417</v>
      </c>
      <c r="I125" s="3">
        <f t="shared" si="15"/>
        <v>7.8959584264519771</v>
      </c>
    </row>
    <row r="126" spans="6:9" ht="16" thickBot="1" x14ac:dyDescent="0.4">
      <c r="F126" s="4"/>
      <c r="G126" s="3">
        <v>16</v>
      </c>
      <c r="H126" s="3">
        <v>6.3227000000000005E-2</v>
      </c>
      <c r="I126" s="3">
        <f t="shared" si="15"/>
        <v>13.914055704050483</v>
      </c>
    </row>
    <row r="127" spans="6:9" ht="16" thickBot="1" x14ac:dyDescent="0.4">
      <c r="F127" s="4"/>
      <c r="G127" s="3">
        <v>32</v>
      </c>
      <c r="H127" s="3">
        <v>5.7689999999999998E-2</v>
      </c>
      <c r="I127" s="3">
        <f t="shared" si="15"/>
        <v>15.24950598023921</v>
      </c>
    </row>
    <row r="128" spans="6:9" ht="16" thickBot="1" x14ac:dyDescent="0.4">
      <c r="F128" s="6"/>
      <c r="G128" s="3">
        <v>64</v>
      </c>
      <c r="H128" s="3">
        <v>7.2375999999999996E-2</v>
      </c>
      <c r="I128" s="3">
        <f t="shared" si="15"/>
        <v>12.155189565601857</v>
      </c>
    </row>
  </sheetData>
  <mergeCells count="20">
    <mergeCell ref="F115:F121"/>
    <mergeCell ref="F122:F128"/>
    <mergeCell ref="F68:F74"/>
    <mergeCell ref="F75:F81"/>
    <mergeCell ref="F82:F88"/>
    <mergeCell ref="F89:F95"/>
    <mergeCell ref="F101:F107"/>
    <mergeCell ref="F108:F114"/>
    <mergeCell ref="F18:F24"/>
    <mergeCell ref="F25:F31"/>
    <mergeCell ref="F36:F42"/>
    <mergeCell ref="F43:F49"/>
    <mergeCell ref="F50:F56"/>
    <mergeCell ref="F57:F63"/>
    <mergeCell ref="A2:A5"/>
    <mergeCell ref="A6:A9"/>
    <mergeCell ref="A10:A13"/>
    <mergeCell ref="A14:A17"/>
    <mergeCell ref="F4:F10"/>
    <mergeCell ref="F11:F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7731-5EF0-4328-A275-4DEAFA3618D1}">
  <dimension ref="A1:S127"/>
  <sheetViews>
    <sheetView tabSelected="1" topLeftCell="N9" zoomScale="57" workbookViewId="0">
      <selection activeCell="AM22" sqref="AM22"/>
    </sheetView>
  </sheetViews>
  <sheetFormatPr defaultRowHeight="14.5" x14ac:dyDescent="0.35"/>
  <cols>
    <col min="1" max="1" width="19" customWidth="1"/>
    <col min="2" max="2" width="11.54296875" customWidth="1"/>
    <col min="3" max="3" width="17.6328125" customWidth="1"/>
    <col min="4" max="4" width="14.08984375" customWidth="1"/>
    <col min="8" max="8" width="31.08984375" customWidth="1"/>
    <col min="9" max="9" width="16.7265625" customWidth="1"/>
    <col min="10" max="10" width="18" customWidth="1"/>
    <col min="11" max="11" width="18.90625" customWidth="1"/>
    <col min="12" max="12" width="16.90625" customWidth="1"/>
    <col min="15" max="15" width="19.7265625" customWidth="1"/>
    <col min="16" max="16" width="14.1796875" customWidth="1"/>
    <col min="17" max="17" width="16.90625" customWidth="1"/>
    <col min="18" max="18" width="16.7265625" customWidth="1"/>
    <col min="19" max="19" width="15.1796875" customWidth="1"/>
  </cols>
  <sheetData>
    <row r="1" spans="1:19" ht="47" customHeight="1" thickBot="1" x14ac:dyDescent="0.4">
      <c r="A1" s="1" t="s">
        <v>14</v>
      </c>
      <c r="B1" s="2" t="s">
        <v>15</v>
      </c>
      <c r="C1" s="2" t="s">
        <v>16</v>
      </c>
      <c r="D1" s="2" t="s">
        <v>5</v>
      </c>
      <c r="H1" s="7" t="s">
        <v>17</v>
      </c>
    </row>
    <row r="2" spans="1:19" ht="16" thickBot="1" x14ac:dyDescent="0.4">
      <c r="A2" s="5">
        <v>128</v>
      </c>
      <c r="B2" s="5">
        <v>1</v>
      </c>
      <c r="C2" s="3">
        <v>50</v>
      </c>
      <c r="D2" s="3">
        <v>5.0939999999999996E-3</v>
      </c>
      <c r="H2" s="7"/>
    </row>
    <row r="3" spans="1:19" ht="16" thickBot="1" x14ac:dyDescent="0.4">
      <c r="A3" s="4"/>
      <c r="B3" s="4"/>
      <c r="C3" s="3">
        <v>100</v>
      </c>
      <c r="D3" s="3">
        <v>7.2430000000000003E-3</v>
      </c>
      <c r="H3" s="1" t="s">
        <v>18</v>
      </c>
      <c r="I3" s="2" t="s">
        <v>15</v>
      </c>
      <c r="J3" s="2" t="s">
        <v>4</v>
      </c>
      <c r="K3" s="2" t="s">
        <v>5</v>
      </c>
      <c r="L3" s="2" t="s">
        <v>6</v>
      </c>
      <c r="O3" s="8" t="s">
        <v>4</v>
      </c>
      <c r="P3" s="8" t="s">
        <v>10</v>
      </c>
      <c r="Q3" s="8" t="s">
        <v>11</v>
      </c>
      <c r="R3" s="8" t="s">
        <v>12</v>
      </c>
      <c r="S3" s="8" t="s">
        <v>13</v>
      </c>
    </row>
    <row r="4" spans="1:19" ht="16" thickBot="1" x14ac:dyDescent="0.4">
      <c r="A4" s="4"/>
      <c r="B4" s="4"/>
      <c r="C4" s="3">
        <v>200</v>
      </c>
      <c r="D4" s="3">
        <v>1.3305000000000001E-2</v>
      </c>
      <c r="H4" s="5">
        <v>50</v>
      </c>
      <c r="I4" s="5">
        <v>1</v>
      </c>
      <c r="J4" s="3">
        <v>1</v>
      </c>
      <c r="K4" s="3">
        <v>5.0829999999999998E-3</v>
      </c>
      <c r="L4" s="3">
        <f>$D$2/K4</f>
        <v>1.0021640763328743</v>
      </c>
      <c r="O4" s="11">
        <v>1</v>
      </c>
      <c r="P4" s="9">
        <v>1.0021640759999999</v>
      </c>
      <c r="Q4" s="9">
        <v>0.79349254999999996</v>
      </c>
      <c r="R4" s="9">
        <v>0.79041169099999997</v>
      </c>
      <c r="S4" s="9">
        <v>0.928338581</v>
      </c>
    </row>
    <row r="5" spans="1:19" ht="16" thickBot="1" x14ac:dyDescent="0.4">
      <c r="A5" s="6"/>
      <c r="B5" s="6"/>
      <c r="C5" s="3">
        <v>500</v>
      </c>
      <c r="D5" s="3">
        <v>3.3319000000000001E-2</v>
      </c>
      <c r="H5" s="4"/>
      <c r="I5" s="4"/>
      <c r="J5" s="3">
        <v>2</v>
      </c>
      <c r="K5" s="3">
        <v>3.669E-3</v>
      </c>
      <c r="L5" s="3">
        <f t="shared" ref="L5:L10" si="0">$D$2/K5</f>
        <v>1.3883892068683563</v>
      </c>
      <c r="O5" s="11">
        <v>2</v>
      </c>
      <c r="P5" s="10">
        <v>1.3883892069999999</v>
      </c>
      <c r="Q5" s="10">
        <v>1.1489530459999999</v>
      </c>
      <c r="R5" s="10">
        <v>1.231032568</v>
      </c>
      <c r="S5" s="10">
        <v>1.5612670449999999</v>
      </c>
    </row>
    <row r="6" spans="1:19" ht="16" thickBot="1" x14ac:dyDescent="0.4">
      <c r="A6" s="5">
        <v>256</v>
      </c>
      <c r="B6" s="5">
        <v>1</v>
      </c>
      <c r="C6" s="3">
        <v>50</v>
      </c>
      <c r="D6" s="3">
        <v>1.3235E-2</v>
      </c>
      <c r="H6" s="4"/>
      <c r="I6" s="4"/>
      <c r="J6" s="3">
        <v>4</v>
      </c>
      <c r="K6" s="3">
        <v>2.8419999999999999E-3</v>
      </c>
      <c r="L6" s="3">
        <f t="shared" si="0"/>
        <v>1.7923997185080929</v>
      </c>
      <c r="O6" s="11">
        <v>4</v>
      </c>
      <c r="P6" s="10">
        <v>1.7923997190000001</v>
      </c>
      <c r="Q6" s="10">
        <v>1.176958076</v>
      </c>
      <c r="R6" s="10">
        <v>2.101563734</v>
      </c>
      <c r="S6" s="10">
        <v>2.4501066250000001</v>
      </c>
    </row>
    <row r="7" spans="1:19" ht="16" thickBot="1" x14ac:dyDescent="0.4">
      <c r="A7" s="4"/>
      <c r="B7" s="4"/>
      <c r="C7" s="3">
        <v>100</v>
      </c>
      <c r="D7" s="3">
        <v>2.6459E-2</v>
      </c>
      <c r="H7" s="4"/>
      <c r="I7" s="4"/>
      <c r="J7" s="3">
        <v>8</v>
      </c>
      <c r="K7" s="3">
        <v>2.0019999999999999E-3</v>
      </c>
      <c r="L7" s="3">
        <f t="shared" si="0"/>
        <v>2.5444555444555443</v>
      </c>
      <c r="O7" s="11">
        <v>8</v>
      </c>
      <c r="P7" s="10">
        <v>2.5444555439999998</v>
      </c>
      <c r="Q7" s="10">
        <v>1.9838400439999999</v>
      </c>
      <c r="R7" s="10">
        <v>2.3712350739999999</v>
      </c>
      <c r="S7" s="10">
        <v>3.182330468</v>
      </c>
    </row>
    <row r="8" spans="1:19" ht="16" thickBot="1" x14ac:dyDescent="0.4">
      <c r="A8" s="4"/>
      <c r="B8" s="4"/>
      <c r="C8" s="3">
        <v>200</v>
      </c>
      <c r="D8" s="3">
        <v>5.2850000000000001E-2</v>
      </c>
      <c r="H8" s="4"/>
      <c r="I8" s="4"/>
      <c r="J8" s="3">
        <v>16</v>
      </c>
      <c r="K8" s="3">
        <v>1.4989999999999999E-3</v>
      </c>
      <c r="L8" s="3">
        <f t="shared" si="0"/>
        <v>3.3982655103402268</v>
      </c>
      <c r="O8" s="11">
        <v>16</v>
      </c>
      <c r="P8" s="10">
        <v>3.3982655099999999</v>
      </c>
      <c r="Q8" s="10">
        <v>2.8392787140000002</v>
      </c>
      <c r="R8" s="10">
        <v>2.7048180519999998</v>
      </c>
      <c r="S8" s="10">
        <v>3.2794291339999999</v>
      </c>
    </row>
    <row r="9" spans="1:19" ht="16" thickBot="1" x14ac:dyDescent="0.4">
      <c r="A9" s="6"/>
      <c r="B9" s="6"/>
      <c r="C9" s="3">
        <v>500</v>
      </c>
      <c r="D9" s="3">
        <v>0.132108</v>
      </c>
      <c r="H9" s="4"/>
      <c r="I9" s="4"/>
      <c r="J9" s="3">
        <v>32</v>
      </c>
      <c r="K9" s="3">
        <v>1.573E-3</v>
      </c>
      <c r="L9" s="3">
        <f t="shared" si="0"/>
        <v>3.2383979656706927</v>
      </c>
      <c r="O9" s="11">
        <v>32</v>
      </c>
      <c r="P9" s="10">
        <v>3.238397966</v>
      </c>
      <c r="Q9" s="10">
        <v>2.9407226959999999</v>
      </c>
      <c r="R9" s="10">
        <v>3.1807315319999998</v>
      </c>
      <c r="S9" s="10">
        <v>3.899695693</v>
      </c>
    </row>
    <row r="10" spans="1:19" ht="16" thickBot="1" x14ac:dyDescent="0.4">
      <c r="A10" s="5">
        <v>512</v>
      </c>
      <c r="B10" s="5">
        <v>1</v>
      </c>
      <c r="C10" s="3">
        <v>50</v>
      </c>
      <c r="D10" s="3">
        <v>5.2713000000000003E-2</v>
      </c>
      <c r="H10" s="6"/>
      <c r="I10" s="6"/>
      <c r="J10" s="3">
        <v>64</v>
      </c>
      <c r="K10" s="3">
        <v>3.689E-3</v>
      </c>
      <c r="L10" s="3">
        <f t="shared" si="0"/>
        <v>1.3808620222282459</v>
      </c>
      <c r="O10" s="11">
        <v>64</v>
      </c>
      <c r="P10" s="10">
        <v>1.3808620220000001</v>
      </c>
      <c r="Q10" s="10">
        <v>1.067974049</v>
      </c>
      <c r="R10" s="10">
        <v>1.504409769</v>
      </c>
      <c r="S10" s="10">
        <v>1.3305247179999999</v>
      </c>
    </row>
    <row r="11" spans="1:19" ht="16" thickBot="1" x14ac:dyDescent="0.4">
      <c r="A11" s="4"/>
      <c r="B11" s="4"/>
      <c r="C11" s="3">
        <v>100</v>
      </c>
      <c r="D11" s="3">
        <v>0.105283</v>
      </c>
      <c r="H11" s="5">
        <v>100</v>
      </c>
      <c r="I11" s="5">
        <v>1</v>
      </c>
      <c r="J11" s="3">
        <v>1</v>
      </c>
      <c r="K11" s="3">
        <v>9.1280000000000007E-3</v>
      </c>
      <c r="L11" s="3">
        <f>$D$3/K11</f>
        <v>0.79349255039439082</v>
      </c>
    </row>
    <row r="12" spans="1:19" ht="16" thickBot="1" x14ac:dyDescent="0.4">
      <c r="A12" s="4"/>
      <c r="B12" s="4"/>
      <c r="C12" s="3">
        <v>200</v>
      </c>
      <c r="D12" s="3">
        <v>0.210925</v>
      </c>
      <c r="H12" s="4"/>
      <c r="I12" s="4"/>
      <c r="J12" s="3">
        <v>2</v>
      </c>
      <c r="K12" s="3">
        <v>6.3039999999999997E-3</v>
      </c>
      <c r="L12" s="3">
        <f t="shared" ref="L12:L17" si="1">$D$3/K12</f>
        <v>1.1489530456852792</v>
      </c>
    </row>
    <row r="13" spans="1:19" ht="16" thickBot="1" x14ac:dyDescent="0.4">
      <c r="A13" s="6"/>
      <c r="B13" s="6"/>
      <c r="C13" s="3">
        <v>500</v>
      </c>
      <c r="D13" s="3">
        <v>0.52762699999999996</v>
      </c>
      <c r="H13" s="4"/>
      <c r="I13" s="4"/>
      <c r="J13" s="3">
        <v>4</v>
      </c>
      <c r="K13" s="3">
        <v>6.1539999999999997E-3</v>
      </c>
      <c r="L13" s="3">
        <f t="shared" si="1"/>
        <v>1.1769580760480989</v>
      </c>
    </row>
    <row r="14" spans="1:19" ht="16" thickBot="1" x14ac:dyDescent="0.4">
      <c r="A14" s="5">
        <v>1024</v>
      </c>
      <c r="B14" s="5">
        <v>1</v>
      </c>
      <c r="C14" s="3">
        <v>50</v>
      </c>
      <c r="D14" s="3">
        <v>0.21008199999999999</v>
      </c>
      <c r="H14" s="4"/>
      <c r="I14" s="4"/>
      <c r="J14" s="3">
        <v>8</v>
      </c>
      <c r="K14" s="3">
        <v>3.6510000000000002E-3</v>
      </c>
      <c r="L14" s="3">
        <f t="shared" si="1"/>
        <v>1.9838400438236099</v>
      </c>
    </row>
    <row r="15" spans="1:19" ht="16" thickBot="1" x14ac:dyDescent="0.4">
      <c r="A15" s="4"/>
      <c r="B15" s="4"/>
      <c r="C15" s="3">
        <v>100</v>
      </c>
      <c r="D15" s="3">
        <v>0.42104900000000001</v>
      </c>
      <c r="H15" s="4"/>
      <c r="I15" s="4"/>
      <c r="J15" s="3">
        <v>16</v>
      </c>
      <c r="K15" s="3">
        <v>2.5509999999999999E-3</v>
      </c>
      <c r="L15" s="3">
        <f t="shared" si="1"/>
        <v>2.8392787142297142</v>
      </c>
    </row>
    <row r="16" spans="1:19" ht="16" thickBot="1" x14ac:dyDescent="0.4">
      <c r="A16" s="4"/>
      <c r="B16" s="4"/>
      <c r="C16" s="3">
        <v>200</v>
      </c>
      <c r="D16" s="3">
        <v>0.84204599999999996</v>
      </c>
      <c r="H16" s="4"/>
      <c r="I16" s="4"/>
      <c r="J16" s="3">
        <v>32</v>
      </c>
      <c r="K16" s="3">
        <v>2.4629999999999999E-3</v>
      </c>
      <c r="L16" s="3">
        <f t="shared" si="1"/>
        <v>2.9407226958993102</v>
      </c>
    </row>
    <row r="17" spans="1:12" ht="16" thickBot="1" x14ac:dyDescent="0.4">
      <c r="A17" s="6"/>
      <c r="B17" s="6"/>
      <c r="C17" s="3">
        <v>500</v>
      </c>
      <c r="D17" s="3">
        <v>2.1052089999999999</v>
      </c>
      <c r="H17" s="6"/>
      <c r="I17" s="6"/>
      <c r="J17" s="3">
        <v>64</v>
      </c>
      <c r="K17" s="3">
        <v>6.7819999999999998E-3</v>
      </c>
      <c r="L17" s="3">
        <f t="shared" si="1"/>
        <v>1.0679740489531113</v>
      </c>
    </row>
    <row r="18" spans="1:12" ht="16" thickBot="1" x14ac:dyDescent="0.4">
      <c r="H18" s="5">
        <v>200</v>
      </c>
      <c r="I18" s="5">
        <v>1</v>
      </c>
      <c r="J18" s="3">
        <v>1</v>
      </c>
      <c r="K18" s="3">
        <v>1.6833000000000001E-2</v>
      </c>
      <c r="L18" s="3">
        <f>$D$4/K18</f>
        <v>0.79041169132062028</v>
      </c>
    </row>
    <row r="19" spans="1:12" ht="16" thickBot="1" x14ac:dyDescent="0.4">
      <c r="H19" s="4"/>
      <c r="I19" s="4"/>
      <c r="J19" s="3">
        <v>2</v>
      </c>
      <c r="K19" s="3">
        <v>1.0808E-2</v>
      </c>
      <c r="L19" s="3">
        <f t="shared" ref="L19:L24" si="2">$D$4/K19</f>
        <v>1.2310325684678016</v>
      </c>
    </row>
    <row r="20" spans="1:12" ht="16" thickBot="1" x14ac:dyDescent="0.4">
      <c r="H20" s="4"/>
      <c r="I20" s="4"/>
      <c r="J20" s="3">
        <v>4</v>
      </c>
      <c r="K20" s="3">
        <v>6.3309999999999998E-3</v>
      </c>
      <c r="L20" s="3">
        <f t="shared" si="2"/>
        <v>2.1015637340072661</v>
      </c>
    </row>
    <row r="21" spans="1:12" ht="16" thickBot="1" x14ac:dyDescent="0.4">
      <c r="H21" s="4"/>
      <c r="I21" s="4"/>
      <c r="J21" s="3">
        <v>8</v>
      </c>
      <c r="K21" s="3">
        <v>5.6109999999999997E-3</v>
      </c>
      <c r="L21" s="3">
        <f t="shared" si="2"/>
        <v>2.3712350739618611</v>
      </c>
    </row>
    <row r="22" spans="1:12" ht="16" thickBot="1" x14ac:dyDescent="0.4">
      <c r="H22" s="4"/>
      <c r="I22" s="4"/>
      <c r="J22" s="3">
        <v>16</v>
      </c>
      <c r="K22" s="3">
        <v>4.9189999999999998E-3</v>
      </c>
      <c r="L22" s="3">
        <f t="shared" si="2"/>
        <v>2.704818052449685</v>
      </c>
    </row>
    <row r="23" spans="1:12" ht="16" thickBot="1" x14ac:dyDescent="0.4">
      <c r="H23" s="4"/>
      <c r="I23" s="4"/>
      <c r="J23" s="3">
        <v>32</v>
      </c>
      <c r="K23" s="3">
        <v>4.1830000000000001E-3</v>
      </c>
      <c r="L23" s="3">
        <f t="shared" si="2"/>
        <v>3.1807315323930196</v>
      </c>
    </row>
    <row r="24" spans="1:12" ht="16" thickBot="1" x14ac:dyDescent="0.4">
      <c r="H24" s="6"/>
      <c r="I24" s="6"/>
      <c r="J24" s="3">
        <v>64</v>
      </c>
      <c r="K24" s="3">
        <v>8.8439999999999994E-3</v>
      </c>
      <c r="L24" s="3">
        <f t="shared" si="2"/>
        <v>1.5044097693351426</v>
      </c>
    </row>
    <row r="25" spans="1:12" ht="16" thickBot="1" x14ac:dyDescent="0.4">
      <c r="H25" s="5">
        <v>500</v>
      </c>
      <c r="I25" s="5">
        <v>1</v>
      </c>
      <c r="J25" s="3">
        <v>1</v>
      </c>
      <c r="K25" s="3">
        <v>3.5890999999999999E-2</v>
      </c>
      <c r="L25" s="3">
        <f>$D$5/K25</f>
        <v>0.92833858070268316</v>
      </c>
    </row>
    <row r="26" spans="1:12" ht="16" thickBot="1" x14ac:dyDescent="0.4">
      <c r="H26" s="4"/>
      <c r="I26" s="4"/>
      <c r="J26" s="3">
        <v>2</v>
      </c>
      <c r="K26" s="3">
        <v>2.1340999999999999E-2</v>
      </c>
      <c r="L26" s="3">
        <f t="shared" ref="L26:L31" si="3">$D$5/K26</f>
        <v>1.561267044655827</v>
      </c>
    </row>
    <row r="27" spans="1:12" ht="16" thickBot="1" x14ac:dyDescent="0.4">
      <c r="H27" s="4"/>
      <c r="I27" s="4"/>
      <c r="J27" s="3">
        <v>4</v>
      </c>
      <c r="K27" s="3">
        <v>1.3599E-2</v>
      </c>
      <c r="L27" s="3">
        <f t="shared" si="3"/>
        <v>2.4501066254871682</v>
      </c>
    </row>
    <row r="28" spans="1:12" ht="16" thickBot="1" x14ac:dyDescent="0.4">
      <c r="H28" s="4"/>
      <c r="I28" s="4"/>
      <c r="J28" s="3">
        <v>8</v>
      </c>
      <c r="K28" s="3">
        <v>1.047E-2</v>
      </c>
      <c r="L28" s="3">
        <f t="shared" si="3"/>
        <v>3.1823304680038205</v>
      </c>
    </row>
    <row r="29" spans="1:12" ht="16" thickBot="1" x14ac:dyDescent="0.4">
      <c r="H29" s="4"/>
      <c r="I29" s="4"/>
      <c r="J29" s="3">
        <v>16</v>
      </c>
      <c r="K29" s="3">
        <v>1.0160000000000001E-2</v>
      </c>
      <c r="L29" s="3">
        <f t="shared" si="3"/>
        <v>3.2794291338582675</v>
      </c>
    </row>
    <row r="30" spans="1:12" ht="16" thickBot="1" x14ac:dyDescent="0.4">
      <c r="H30" s="4"/>
      <c r="I30" s="4"/>
      <c r="J30" s="3">
        <v>32</v>
      </c>
      <c r="K30" s="3">
        <v>8.5439999999999995E-3</v>
      </c>
      <c r="L30" s="3">
        <f t="shared" si="3"/>
        <v>3.8996956928838955</v>
      </c>
    </row>
    <row r="31" spans="1:12" ht="16" thickBot="1" x14ac:dyDescent="0.4">
      <c r="H31" s="6"/>
      <c r="I31" s="6"/>
      <c r="J31" s="3">
        <v>64</v>
      </c>
      <c r="K31" s="3">
        <v>2.5041999999999998E-2</v>
      </c>
      <c r="L31" s="3">
        <f t="shared" si="3"/>
        <v>1.3305247184729656</v>
      </c>
    </row>
    <row r="32" spans="1:12" ht="15.5" x14ac:dyDescent="0.35">
      <c r="H32" s="7"/>
    </row>
    <row r="33" spans="8:19" ht="62" x14ac:dyDescent="0.35">
      <c r="H33" s="7" t="s">
        <v>19</v>
      </c>
    </row>
    <row r="34" spans="8:19" ht="16" thickBot="1" x14ac:dyDescent="0.4">
      <c r="H34" s="7"/>
    </row>
    <row r="35" spans="8:19" ht="16" thickBot="1" x14ac:dyDescent="0.4">
      <c r="H35" s="1" t="s">
        <v>18</v>
      </c>
      <c r="I35" s="2" t="s">
        <v>15</v>
      </c>
      <c r="J35" s="2" t="s">
        <v>4</v>
      </c>
      <c r="K35" s="2" t="s">
        <v>5</v>
      </c>
      <c r="L35" s="2" t="s">
        <v>6</v>
      </c>
      <c r="O35" s="8" t="s">
        <v>4</v>
      </c>
      <c r="P35" s="8" t="s">
        <v>10</v>
      </c>
      <c r="Q35" s="8" t="s">
        <v>11</v>
      </c>
      <c r="R35" s="8" t="s">
        <v>12</v>
      </c>
      <c r="S35" s="8" t="s">
        <v>13</v>
      </c>
    </row>
    <row r="36" spans="8:19" ht="16" thickBot="1" x14ac:dyDescent="0.4">
      <c r="H36" s="5">
        <v>50</v>
      </c>
      <c r="I36" s="5">
        <v>1</v>
      </c>
      <c r="J36" s="3">
        <v>1</v>
      </c>
      <c r="K36" s="3">
        <v>1.5730000000000001E-2</v>
      </c>
      <c r="L36" s="3">
        <f>$D$6/K36</f>
        <v>0.84138588684043225</v>
      </c>
      <c r="O36" s="11">
        <v>1</v>
      </c>
      <c r="P36" s="9">
        <v>0.84138588700000005</v>
      </c>
      <c r="Q36" s="9">
        <v>0.88282005900000005</v>
      </c>
      <c r="R36" s="9">
        <v>0.95690747799999998</v>
      </c>
      <c r="S36" s="9">
        <v>0.97411129699999999</v>
      </c>
    </row>
    <row r="37" spans="8:19" ht="16" thickBot="1" x14ac:dyDescent="0.4">
      <c r="H37" s="4"/>
      <c r="I37" s="4"/>
      <c r="J37" s="3">
        <v>2</v>
      </c>
      <c r="K37" s="3">
        <v>1.0581999999999999E-2</v>
      </c>
      <c r="L37" s="3">
        <f t="shared" ref="L37:L49" si="4">$D$6/K37</f>
        <v>1.2507087507087509</v>
      </c>
      <c r="O37" s="11">
        <v>2</v>
      </c>
      <c r="P37" s="10">
        <v>1.2507087509999999</v>
      </c>
      <c r="Q37" s="10">
        <v>1.6068869180000001</v>
      </c>
      <c r="R37" s="10">
        <v>1.7090285860000001</v>
      </c>
      <c r="S37" s="10">
        <v>1.8073960570000001</v>
      </c>
    </row>
    <row r="38" spans="8:19" ht="16" thickBot="1" x14ac:dyDescent="0.4">
      <c r="H38" s="4"/>
      <c r="I38" s="4"/>
      <c r="J38" s="3">
        <v>4</v>
      </c>
      <c r="K38" s="3">
        <v>1.0555999999999999E-2</v>
      </c>
      <c r="L38" s="3">
        <f t="shared" si="4"/>
        <v>1.2537893141341419</v>
      </c>
      <c r="O38" s="11">
        <v>4</v>
      </c>
      <c r="P38" s="10">
        <v>1.253789314</v>
      </c>
      <c r="Q38" s="10">
        <v>1.854429493</v>
      </c>
      <c r="R38" s="10">
        <v>2.2042876210000002</v>
      </c>
      <c r="S38" s="10">
        <v>3.255575544</v>
      </c>
    </row>
    <row r="39" spans="8:19" ht="16" thickBot="1" x14ac:dyDescent="0.4">
      <c r="H39" s="4"/>
      <c r="I39" s="4"/>
      <c r="J39" s="3">
        <v>8</v>
      </c>
      <c r="K39" s="3">
        <v>5.9259999999999998E-3</v>
      </c>
      <c r="L39" s="3">
        <f t="shared" si="4"/>
        <v>2.2333783327708403</v>
      </c>
      <c r="O39" s="11">
        <v>8</v>
      </c>
      <c r="P39" s="10">
        <v>2.2333783330000001</v>
      </c>
      <c r="Q39" s="10">
        <v>2.6014157899999999</v>
      </c>
      <c r="R39" s="10">
        <v>3.073031748</v>
      </c>
      <c r="S39" s="10">
        <v>4.8567332079999996</v>
      </c>
    </row>
    <row r="40" spans="8:19" ht="16" thickBot="1" x14ac:dyDescent="0.4">
      <c r="H40" s="4"/>
      <c r="I40" s="4"/>
      <c r="J40" s="3">
        <v>16</v>
      </c>
      <c r="K40" s="3">
        <v>3.3500000000000001E-3</v>
      </c>
      <c r="L40" s="3">
        <f t="shared" si="4"/>
        <v>3.9507462686567165</v>
      </c>
      <c r="O40" s="11">
        <v>16</v>
      </c>
      <c r="P40" s="10">
        <v>3.9507462690000001</v>
      </c>
      <c r="Q40" s="10">
        <v>3.9076945799999998</v>
      </c>
      <c r="R40" s="10">
        <v>4.631090081</v>
      </c>
      <c r="S40" s="10">
        <v>6.3118967990000003</v>
      </c>
    </row>
    <row r="41" spans="8:19" ht="16" thickBot="1" x14ac:dyDescent="0.4">
      <c r="H41" s="4"/>
      <c r="I41" s="4"/>
      <c r="J41" s="3">
        <v>32</v>
      </c>
      <c r="K41" s="3">
        <v>2.676E-3</v>
      </c>
      <c r="L41" s="3">
        <f t="shared" si="4"/>
        <v>4.9458146487294474</v>
      </c>
      <c r="O41" s="11">
        <v>32</v>
      </c>
      <c r="P41" s="10">
        <v>4.9458146489999999</v>
      </c>
      <c r="Q41" s="10">
        <v>5.6645257969999996</v>
      </c>
      <c r="R41" s="10">
        <v>6.4200680270000001</v>
      </c>
      <c r="S41" s="10">
        <v>9.1576320530000004</v>
      </c>
    </row>
    <row r="42" spans="8:19" ht="16" thickBot="1" x14ac:dyDescent="0.4">
      <c r="H42" s="6"/>
      <c r="I42" s="6"/>
      <c r="J42" s="3">
        <v>64</v>
      </c>
      <c r="K42" s="3">
        <v>4.8929999999999998E-3</v>
      </c>
      <c r="L42" s="3">
        <f t="shared" si="4"/>
        <v>2.7048845289188637</v>
      </c>
      <c r="O42" s="11">
        <v>64</v>
      </c>
      <c r="P42" s="10">
        <v>2.7048845290000001</v>
      </c>
      <c r="Q42" s="10">
        <v>3.581348132</v>
      </c>
      <c r="R42" s="10">
        <v>4.6969427660000003</v>
      </c>
      <c r="S42" s="10">
        <v>4.7529411760000002</v>
      </c>
    </row>
    <row r="43" spans="8:19" ht="16" thickBot="1" x14ac:dyDescent="0.4">
      <c r="H43" s="5">
        <v>100</v>
      </c>
      <c r="I43" s="5">
        <v>1</v>
      </c>
      <c r="J43" s="3">
        <v>1</v>
      </c>
      <c r="K43" s="3">
        <v>2.9971000000000001E-2</v>
      </c>
      <c r="L43" s="3">
        <f>$D$7/K43</f>
        <v>0.88282005939074437</v>
      </c>
    </row>
    <row r="44" spans="8:19" ht="16" thickBot="1" x14ac:dyDescent="0.4">
      <c r="H44" s="4"/>
      <c r="I44" s="4"/>
      <c r="J44" s="3">
        <v>2</v>
      </c>
      <c r="K44" s="3">
        <v>1.6466000000000001E-2</v>
      </c>
      <c r="L44" s="3">
        <f t="shared" ref="L44:L50" si="5">$D$7/K44</f>
        <v>1.6068869184987244</v>
      </c>
    </row>
    <row r="45" spans="8:19" ht="16" thickBot="1" x14ac:dyDescent="0.4">
      <c r="H45" s="4"/>
      <c r="I45" s="4"/>
      <c r="J45" s="3">
        <v>4</v>
      </c>
      <c r="K45" s="3">
        <v>1.4267999999999999E-2</v>
      </c>
      <c r="L45" s="3">
        <f t="shared" si="5"/>
        <v>1.8544294925707878</v>
      </c>
    </row>
    <row r="46" spans="8:19" ht="16" thickBot="1" x14ac:dyDescent="0.4">
      <c r="H46" s="4"/>
      <c r="I46" s="4"/>
      <c r="J46" s="3">
        <v>8</v>
      </c>
      <c r="K46" s="3">
        <v>1.0170999999999999E-2</v>
      </c>
      <c r="L46" s="3">
        <f t="shared" si="5"/>
        <v>2.6014157899911514</v>
      </c>
    </row>
    <row r="47" spans="8:19" ht="16" thickBot="1" x14ac:dyDescent="0.4">
      <c r="H47" s="4"/>
      <c r="I47" s="4"/>
      <c r="J47" s="3">
        <v>16</v>
      </c>
      <c r="K47" s="3">
        <v>6.7710000000000001E-3</v>
      </c>
      <c r="L47" s="3">
        <f t="shared" si="5"/>
        <v>3.9076945798257272</v>
      </c>
    </row>
    <row r="48" spans="8:19" ht="16" thickBot="1" x14ac:dyDescent="0.4">
      <c r="H48" s="4"/>
      <c r="I48" s="4"/>
      <c r="J48" s="3">
        <v>32</v>
      </c>
      <c r="K48" s="3">
        <v>4.6709999999999998E-3</v>
      </c>
      <c r="L48" s="3">
        <f t="shared" si="5"/>
        <v>5.6645257974737744</v>
      </c>
    </row>
    <row r="49" spans="8:12" ht="16" thickBot="1" x14ac:dyDescent="0.4">
      <c r="H49" s="6"/>
      <c r="I49" s="6"/>
      <c r="J49" s="3">
        <v>64</v>
      </c>
      <c r="K49" s="3">
        <v>7.3879999999999996E-3</v>
      </c>
      <c r="L49" s="3">
        <f t="shared" si="5"/>
        <v>3.5813481321061182</v>
      </c>
    </row>
    <row r="50" spans="8:12" ht="16" thickBot="1" x14ac:dyDescent="0.4">
      <c r="H50" s="5">
        <v>200</v>
      </c>
      <c r="I50" s="5">
        <v>1</v>
      </c>
      <c r="J50" s="3">
        <v>1</v>
      </c>
      <c r="K50" s="3">
        <v>5.5230000000000001E-2</v>
      </c>
      <c r="L50" s="3">
        <f>$D$8/K50</f>
        <v>0.95690747782002539</v>
      </c>
    </row>
    <row r="51" spans="8:12" ht="16" thickBot="1" x14ac:dyDescent="0.4">
      <c r="H51" s="4"/>
      <c r="I51" s="4"/>
      <c r="J51" s="3">
        <v>2</v>
      </c>
      <c r="K51" s="3">
        <v>3.0924E-2</v>
      </c>
      <c r="L51" s="3">
        <f t="shared" ref="L51:L57" si="6">$D$8/K51</f>
        <v>1.709028586211357</v>
      </c>
    </row>
    <row r="52" spans="8:12" ht="16" thickBot="1" x14ac:dyDescent="0.4">
      <c r="H52" s="4"/>
      <c r="I52" s="4"/>
      <c r="J52" s="3">
        <v>4</v>
      </c>
      <c r="K52" s="3">
        <v>2.3976000000000001E-2</v>
      </c>
      <c r="L52" s="3">
        <f t="shared" si="6"/>
        <v>2.2042876209542874</v>
      </c>
    </row>
    <row r="53" spans="8:12" ht="16" thickBot="1" x14ac:dyDescent="0.4">
      <c r="H53" s="4"/>
      <c r="I53" s="4"/>
      <c r="J53" s="3">
        <v>8</v>
      </c>
      <c r="K53" s="3">
        <v>1.7198000000000001E-2</v>
      </c>
      <c r="L53" s="3">
        <f t="shared" si="6"/>
        <v>3.0730317478776601</v>
      </c>
    </row>
    <row r="54" spans="8:12" ht="16" thickBot="1" x14ac:dyDescent="0.4">
      <c r="H54" s="4"/>
      <c r="I54" s="4"/>
      <c r="J54" s="3">
        <v>16</v>
      </c>
      <c r="K54" s="3">
        <v>1.1412E-2</v>
      </c>
      <c r="L54" s="3">
        <f t="shared" si="6"/>
        <v>4.6310900806168949</v>
      </c>
    </row>
    <row r="55" spans="8:12" ht="16" thickBot="1" x14ac:dyDescent="0.4">
      <c r="H55" s="4"/>
      <c r="I55" s="4"/>
      <c r="J55" s="3">
        <v>32</v>
      </c>
      <c r="K55" s="3">
        <v>8.2319999999999997E-3</v>
      </c>
      <c r="L55" s="3">
        <f t="shared" si="6"/>
        <v>6.4200680272108848</v>
      </c>
    </row>
    <row r="56" spans="8:12" ht="16" thickBot="1" x14ac:dyDescent="0.4">
      <c r="H56" s="6"/>
      <c r="I56" s="6"/>
      <c r="J56" s="3">
        <v>64</v>
      </c>
      <c r="K56" s="3">
        <v>1.1252E-2</v>
      </c>
      <c r="L56" s="3">
        <f t="shared" si="6"/>
        <v>4.6969427657305367</v>
      </c>
    </row>
    <row r="57" spans="8:12" ht="16" thickBot="1" x14ac:dyDescent="0.4">
      <c r="H57" s="5">
        <v>500</v>
      </c>
      <c r="I57" s="5">
        <v>1</v>
      </c>
      <c r="J57" s="3">
        <v>1</v>
      </c>
      <c r="K57" s="3">
        <v>0.13561899999999999</v>
      </c>
      <c r="L57" s="3">
        <f>$D$9/K57</f>
        <v>0.97411129708964095</v>
      </c>
    </row>
    <row r="58" spans="8:12" ht="16" thickBot="1" x14ac:dyDescent="0.4">
      <c r="H58" s="4"/>
      <c r="I58" s="4"/>
      <c r="J58" s="3">
        <v>2</v>
      </c>
      <c r="K58" s="3">
        <v>7.3093000000000005E-2</v>
      </c>
      <c r="L58" s="3">
        <f t="shared" ref="L58:L63" si="7">$D$9/K58</f>
        <v>1.807396057077969</v>
      </c>
    </row>
    <row r="59" spans="8:12" ht="16" thickBot="1" x14ac:dyDescent="0.4">
      <c r="H59" s="4"/>
      <c r="I59" s="4"/>
      <c r="J59" s="3">
        <v>4</v>
      </c>
      <c r="K59" s="3">
        <v>4.0578999999999997E-2</v>
      </c>
      <c r="L59" s="3">
        <f t="shared" si="7"/>
        <v>3.2555755440005916</v>
      </c>
    </row>
    <row r="60" spans="8:12" ht="16" thickBot="1" x14ac:dyDescent="0.4">
      <c r="H60" s="4"/>
      <c r="I60" s="4"/>
      <c r="J60" s="3">
        <v>8</v>
      </c>
      <c r="K60" s="3">
        <v>2.7200999999999999E-2</v>
      </c>
      <c r="L60" s="3">
        <f t="shared" si="7"/>
        <v>4.8567332083379293</v>
      </c>
    </row>
    <row r="61" spans="8:12" ht="16" thickBot="1" x14ac:dyDescent="0.4">
      <c r="H61" s="4"/>
      <c r="I61" s="4"/>
      <c r="J61" s="3">
        <v>16</v>
      </c>
      <c r="K61" s="3">
        <v>2.0930000000000001E-2</v>
      </c>
      <c r="L61" s="3">
        <f t="shared" si="7"/>
        <v>6.3118967988533203</v>
      </c>
    </row>
    <row r="62" spans="8:12" ht="16" thickBot="1" x14ac:dyDescent="0.4">
      <c r="H62" s="4"/>
      <c r="I62" s="4"/>
      <c r="J62" s="3">
        <v>32</v>
      </c>
      <c r="K62" s="3">
        <v>1.4426E-2</v>
      </c>
      <c r="L62" s="3">
        <f t="shared" si="7"/>
        <v>9.1576320532372115</v>
      </c>
    </row>
    <row r="63" spans="8:12" ht="16" thickBot="1" x14ac:dyDescent="0.4">
      <c r="H63" s="6"/>
      <c r="I63" s="6"/>
      <c r="J63" s="3">
        <v>64</v>
      </c>
      <c r="K63" s="3">
        <v>2.7795E-2</v>
      </c>
      <c r="L63" s="3">
        <f t="shared" si="7"/>
        <v>4.7529411764705882</v>
      </c>
    </row>
    <row r="64" spans="8:12" ht="15.5" x14ac:dyDescent="0.35">
      <c r="H64" s="7"/>
    </row>
    <row r="65" spans="8:19" ht="62" x14ac:dyDescent="0.35">
      <c r="H65" s="7" t="s">
        <v>20</v>
      </c>
    </row>
    <row r="66" spans="8:19" ht="16" thickBot="1" x14ac:dyDescent="0.4">
      <c r="H66" s="7"/>
    </row>
    <row r="67" spans="8:19" ht="16" thickBot="1" x14ac:dyDescent="0.4">
      <c r="H67" s="1" t="s">
        <v>18</v>
      </c>
      <c r="I67" s="2" t="s">
        <v>15</v>
      </c>
      <c r="J67" s="2" t="s">
        <v>4</v>
      </c>
      <c r="K67" s="2" t="s">
        <v>5</v>
      </c>
      <c r="L67" s="2" t="s">
        <v>6</v>
      </c>
      <c r="O67" s="8" t="s">
        <v>4</v>
      </c>
      <c r="P67" s="8" t="s">
        <v>10</v>
      </c>
      <c r="Q67" s="8" t="s">
        <v>11</v>
      </c>
      <c r="R67" s="8" t="s">
        <v>12</v>
      </c>
      <c r="S67" s="8" t="s">
        <v>13</v>
      </c>
    </row>
    <row r="68" spans="8:19" ht="16" thickBot="1" x14ac:dyDescent="0.4">
      <c r="H68" s="5">
        <v>50</v>
      </c>
      <c r="I68" s="5">
        <v>1</v>
      </c>
      <c r="J68" s="3">
        <v>1</v>
      </c>
      <c r="K68" s="3">
        <v>5.5017999999999997E-2</v>
      </c>
      <c r="L68" s="3">
        <f>$D$10/K68</f>
        <v>0.95810462030608179</v>
      </c>
      <c r="O68" s="11">
        <v>1</v>
      </c>
      <c r="P68" s="9">
        <v>0.95810461999999996</v>
      </c>
      <c r="Q68" s="9">
        <v>0.97137980300000004</v>
      </c>
      <c r="R68" s="9">
        <v>0.99282651399999999</v>
      </c>
      <c r="S68" s="9">
        <v>1.004533114</v>
      </c>
    </row>
    <row r="69" spans="8:19" ht="16" thickBot="1" x14ac:dyDescent="0.4">
      <c r="H69" s="4"/>
      <c r="I69" s="4"/>
      <c r="J69" s="3">
        <v>2</v>
      </c>
      <c r="K69" s="3">
        <v>3.0252999999999999E-2</v>
      </c>
      <c r="L69" s="3">
        <f t="shared" ref="L69:L75" si="8">$D$10/K69</f>
        <v>1.7424057118302319</v>
      </c>
      <c r="O69" s="11">
        <v>2</v>
      </c>
      <c r="P69" s="10">
        <v>1.7424057120000001</v>
      </c>
      <c r="Q69" s="10">
        <v>1.8514552010000001</v>
      </c>
      <c r="R69" s="10">
        <v>1.902041589</v>
      </c>
      <c r="S69" s="10">
        <v>1.95459395</v>
      </c>
    </row>
    <row r="70" spans="8:19" ht="16" thickBot="1" x14ac:dyDescent="0.4">
      <c r="H70" s="4"/>
      <c r="I70" s="4"/>
      <c r="J70" s="3">
        <v>4</v>
      </c>
      <c r="K70" s="3">
        <v>1.8567E-2</v>
      </c>
      <c r="L70" s="3">
        <f t="shared" si="8"/>
        <v>2.8390693165293261</v>
      </c>
      <c r="O70" s="11">
        <v>4</v>
      </c>
      <c r="P70" s="10">
        <v>2.8390693169999999</v>
      </c>
      <c r="Q70" s="10">
        <v>2.8816236040000001</v>
      </c>
      <c r="R70" s="10">
        <v>3.392931828</v>
      </c>
      <c r="S70" s="10">
        <v>3.7596069569999999</v>
      </c>
    </row>
    <row r="71" spans="8:19" ht="16" thickBot="1" x14ac:dyDescent="0.4">
      <c r="H71" s="4"/>
      <c r="I71" s="4"/>
      <c r="J71" s="3">
        <v>8</v>
      </c>
      <c r="K71" s="3">
        <v>1.1891000000000001E-2</v>
      </c>
      <c r="L71" s="3">
        <f t="shared" si="8"/>
        <v>4.4330165671516273</v>
      </c>
      <c r="O71" s="11">
        <v>8</v>
      </c>
      <c r="P71" s="10">
        <v>4.4330165670000001</v>
      </c>
      <c r="Q71" s="10">
        <v>4.8699292290000002</v>
      </c>
      <c r="R71" s="10">
        <v>5.7161246610000003</v>
      </c>
      <c r="S71" s="10">
        <v>6.8195295329999999</v>
      </c>
    </row>
    <row r="72" spans="8:19" ht="16" thickBot="1" x14ac:dyDescent="0.4">
      <c r="H72" s="4"/>
      <c r="I72" s="4"/>
      <c r="J72" s="3">
        <v>16</v>
      </c>
      <c r="K72" s="3">
        <v>1.0215E-2</v>
      </c>
      <c r="L72" s="3">
        <f t="shared" si="8"/>
        <v>5.1603524229074891</v>
      </c>
      <c r="O72" s="11">
        <v>16</v>
      </c>
      <c r="P72" s="10">
        <v>5.160352423</v>
      </c>
      <c r="Q72" s="10">
        <v>6.4925382340000004</v>
      </c>
      <c r="R72" s="10">
        <v>8.5373998219999994</v>
      </c>
      <c r="S72" s="10">
        <v>11.051400210000001</v>
      </c>
    </row>
    <row r="73" spans="8:19" ht="16" thickBot="1" x14ac:dyDescent="0.4">
      <c r="H73" s="4"/>
      <c r="I73" s="4"/>
      <c r="J73" s="3">
        <v>32</v>
      </c>
      <c r="K73" s="3">
        <v>6.1669999999999997E-3</v>
      </c>
      <c r="L73" s="3">
        <f t="shared" si="8"/>
        <v>8.5475920220528625</v>
      </c>
      <c r="O73" s="11">
        <v>32</v>
      </c>
      <c r="P73" s="10">
        <v>8.5475920219999999</v>
      </c>
      <c r="Q73" s="10">
        <v>10.52303848</v>
      </c>
      <c r="R73" s="10">
        <v>12.2332096</v>
      </c>
      <c r="S73" s="10">
        <v>16.633365909999998</v>
      </c>
    </row>
    <row r="74" spans="8:19" ht="16" thickBot="1" x14ac:dyDescent="0.4">
      <c r="H74" s="6"/>
      <c r="I74" s="6"/>
      <c r="J74" s="3">
        <v>64</v>
      </c>
      <c r="K74" s="3">
        <v>1.0909E-2</v>
      </c>
      <c r="L74" s="3">
        <f t="shared" si="8"/>
        <v>4.8320652672105604</v>
      </c>
      <c r="O74" s="11">
        <v>64</v>
      </c>
      <c r="P74" s="10">
        <v>4.8320652669999999</v>
      </c>
      <c r="Q74" s="10">
        <v>7.6060540379999999</v>
      </c>
      <c r="R74" s="10">
        <v>10.89376098</v>
      </c>
      <c r="S74" s="10">
        <v>11.728954099999999</v>
      </c>
    </row>
    <row r="75" spans="8:19" ht="16" thickBot="1" x14ac:dyDescent="0.4">
      <c r="H75" s="5">
        <v>100</v>
      </c>
      <c r="I75" s="5">
        <v>1</v>
      </c>
      <c r="J75" s="3">
        <v>1</v>
      </c>
      <c r="K75" s="3">
        <v>0.108385</v>
      </c>
      <c r="L75" s="3">
        <f>$D$11/K75</f>
        <v>0.97137980347834119</v>
      </c>
    </row>
    <row r="76" spans="8:19" ht="16" thickBot="1" x14ac:dyDescent="0.4">
      <c r="H76" s="4"/>
      <c r="I76" s="4"/>
      <c r="J76" s="3">
        <v>2</v>
      </c>
      <c r="K76" s="3">
        <v>5.6864999999999999E-2</v>
      </c>
      <c r="L76" s="3">
        <f t="shared" ref="L76:L82" si="9">$D$11/K76</f>
        <v>1.8514552009144465</v>
      </c>
    </row>
    <row r="77" spans="8:19" ht="16" thickBot="1" x14ac:dyDescent="0.4">
      <c r="H77" s="4"/>
      <c r="I77" s="4"/>
      <c r="J77" s="3">
        <v>4</v>
      </c>
      <c r="K77" s="3">
        <v>3.6535999999999999E-2</v>
      </c>
      <c r="L77" s="3">
        <f t="shared" si="9"/>
        <v>2.8816236041164878</v>
      </c>
    </row>
    <row r="78" spans="8:19" ht="16" thickBot="1" x14ac:dyDescent="0.4">
      <c r="H78" s="4"/>
      <c r="I78" s="4"/>
      <c r="J78" s="3">
        <v>8</v>
      </c>
      <c r="K78" s="3">
        <v>2.1618999999999999E-2</v>
      </c>
      <c r="L78" s="3">
        <f t="shared" si="9"/>
        <v>4.8699292289190064</v>
      </c>
    </row>
    <row r="79" spans="8:19" ht="16" thickBot="1" x14ac:dyDescent="0.4">
      <c r="H79" s="4"/>
      <c r="I79" s="4"/>
      <c r="J79" s="3">
        <v>16</v>
      </c>
      <c r="K79" s="3">
        <v>1.6216000000000001E-2</v>
      </c>
      <c r="L79" s="3">
        <f t="shared" si="9"/>
        <v>6.4925382338431179</v>
      </c>
    </row>
    <row r="80" spans="8:19" ht="16" thickBot="1" x14ac:dyDescent="0.4">
      <c r="H80" s="4"/>
      <c r="I80" s="4"/>
      <c r="J80" s="3">
        <v>32</v>
      </c>
      <c r="K80" s="3">
        <v>1.0005E-2</v>
      </c>
      <c r="L80" s="3">
        <f t="shared" si="9"/>
        <v>10.52303848075962</v>
      </c>
    </row>
    <row r="81" spans="8:12" ht="16" thickBot="1" x14ac:dyDescent="0.4">
      <c r="H81" s="6"/>
      <c r="I81" s="6"/>
      <c r="J81" s="3">
        <v>64</v>
      </c>
      <c r="K81" s="3">
        <v>1.3842E-2</v>
      </c>
      <c r="L81" s="3">
        <f t="shared" si="9"/>
        <v>7.6060540384337525</v>
      </c>
    </row>
    <row r="82" spans="8:12" ht="16" thickBot="1" x14ac:dyDescent="0.4">
      <c r="H82" s="5">
        <v>200</v>
      </c>
      <c r="I82" s="5">
        <v>1</v>
      </c>
      <c r="J82" s="3">
        <v>1</v>
      </c>
      <c r="K82" s="3">
        <v>0.212449</v>
      </c>
      <c r="L82" s="3">
        <f>$D$12/K82</f>
        <v>0.99282651365739538</v>
      </c>
    </row>
    <row r="83" spans="8:12" ht="16" thickBot="1" x14ac:dyDescent="0.4">
      <c r="H83" s="4"/>
      <c r="I83" s="4"/>
      <c r="J83" s="3">
        <v>2</v>
      </c>
      <c r="K83" s="3">
        <v>0.11089400000000001</v>
      </c>
      <c r="L83" s="3">
        <f t="shared" ref="L83:L89" si="10">$D$12/K83</f>
        <v>1.9020415892654245</v>
      </c>
    </row>
    <row r="84" spans="8:12" ht="16" thickBot="1" x14ac:dyDescent="0.4">
      <c r="H84" s="4"/>
      <c r="I84" s="4"/>
      <c r="J84" s="3">
        <v>4</v>
      </c>
      <c r="K84" s="3">
        <v>6.2165999999999999E-2</v>
      </c>
      <c r="L84" s="3">
        <f t="shared" si="10"/>
        <v>3.3929318276871601</v>
      </c>
    </row>
    <row r="85" spans="8:12" ht="16" thickBot="1" x14ac:dyDescent="0.4">
      <c r="H85" s="4"/>
      <c r="I85" s="4"/>
      <c r="J85" s="3">
        <v>8</v>
      </c>
      <c r="K85" s="3">
        <v>3.6900000000000002E-2</v>
      </c>
      <c r="L85" s="3">
        <f t="shared" si="10"/>
        <v>5.7161246612466119</v>
      </c>
    </row>
    <row r="86" spans="8:12" ht="16" thickBot="1" x14ac:dyDescent="0.4">
      <c r="H86" s="4"/>
      <c r="I86" s="4"/>
      <c r="J86" s="3">
        <v>16</v>
      </c>
      <c r="K86" s="3">
        <v>2.4705999999999999E-2</v>
      </c>
      <c r="L86" s="3">
        <f t="shared" si="10"/>
        <v>8.5373998219056109</v>
      </c>
    </row>
    <row r="87" spans="8:12" ht="16" thickBot="1" x14ac:dyDescent="0.4">
      <c r="H87" s="4"/>
      <c r="I87" s="4"/>
      <c r="J87" s="3">
        <v>32</v>
      </c>
      <c r="K87" s="3">
        <v>1.7242E-2</v>
      </c>
      <c r="L87" s="3">
        <f t="shared" si="10"/>
        <v>12.23320960445424</v>
      </c>
    </row>
    <row r="88" spans="8:12" ht="16" thickBot="1" x14ac:dyDescent="0.4">
      <c r="H88" s="6"/>
      <c r="I88" s="6"/>
      <c r="J88" s="3">
        <v>64</v>
      </c>
      <c r="K88" s="3">
        <v>1.9362000000000001E-2</v>
      </c>
      <c r="L88" s="3">
        <f t="shared" si="10"/>
        <v>10.893760975105877</v>
      </c>
    </row>
    <row r="89" spans="8:12" ht="16" thickBot="1" x14ac:dyDescent="0.4">
      <c r="H89" s="5">
        <v>500</v>
      </c>
      <c r="I89" s="5">
        <v>1</v>
      </c>
      <c r="J89" s="3">
        <v>1</v>
      </c>
      <c r="K89" s="3">
        <v>0.52524599999999999</v>
      </c>
      <c r="L89" s="3">
        <f>$D$13/K89</f>
        <v>1.0045331140075315</v>
      </c>
    </row>
    <row r="90" spans="8:12" ht="16" thickBot="1" x14ac:dyDescent="0.4">
      <c r="H90" s="4"/>
      <c r="I90" s="4"/>
      <c r="J90" s="3">
        <v>2</v>
      </c>
      <c r="K90" s="3">
        <v>0.26994200000000002</v>
      </c>
      <c r="L90" s="3">
        <f t="shared" ref="L90:L95" si="11">$D$13/K90</f>
        <v>1.9545939498114406</v>
      </c>
    </row>
    <row r="91" spans="8:12" ht="16" thickBot="1" x14ac:dyDescent="0.4">
      <c r="H91" s="4"/>
      <c r="I91" s="4"/>
      <c r="J91" s="3">
        <v>4</v>
      </c>
      <c r="K91" s="3">
        <v>0.14034099999999999</v>
      </c>
      <c r="L91" s="3">
        <f t="shared" si="11"/>
        <v>3.7596069573396225</v>
      </c>
    </row>
    <row r="92" spans="8:12" ht="16" thickBot="1" x14ac:dyDescent="0.4">
      <c r="H92" s="4"/>
      <c r="I92" s="4"/>
      <c r="J92" s="3">
        <v>8</v>
      </c>
      <c r="K92" s="3">
        <v>7.7369999999999994E-2</v>
      </c>
      <c r="L92" s="3">
        <f t="shared" si="11"/>
        <v>6.8195295334108827</v>
      </c>
    </row>
    <row r="93" spans="8:12" ht="16" thickBot="1" x14ac:dyDescent="0.4">
      <c r="H93" s="4"/>
      <c r="I93" s="4"/>
      <c r="J93" s="3">
        <v>16</v>
      </c>
      <c r="K93" s="3">
        <v>4.7743000000000001E-2</v>
      </c>
      <c r="L93" s="3">
        <f t="shared" si="11"/>
        <v>11.051400205265692</v>
      </c>
    </row>
    <row r="94" spans="8:12" ht="16" thickBot="1" x14ac:dyDescent="0.4">
      <c r="H94" s="4"/>
      <c r="I94" s="4"/>
      <c r="J94" s="3">
        <v>32</v>
      </c>
      <c r="K94" s="3">
        <v>3.1720999999999999E-2</v>
      </c>
      <c r="L94" s="3">
        <f t="shared" si="11"/>
        <v>16.633365909019261</v>
      </c>
    </row>
    <row r="95" spans="8:12" ht="16" thickBot="1" x14ac:dyDescent="0.4">
      <c r="H95" s="6"/>
      <c r="I95" s="6"/>
      <c r="J95" s="3">
        <v>64</v>
      </c>
      <c r="K95" s="3">
        <v>4.4984999999999997E-2</v>
      </c>
      <c r="L95" s="3">
        <f t="shared" si="11"/>
        <v>11.728954095809714</v>
      </c>
    </row>
    <row r="96" spans="8:12" ht="15.5" x14ac:dyDescent="0.35">
      <c r="H96" s="7"/>
    </row>
    <row r="97" spans="8:19" ht="62" x14ac:dyDescent="0.35">
      <c r="H97" s="7" t="s">
        <v>21</v>
      </c>
    </row>
    <row r="98" spans="8:19" ht="16" thickBot="1" x14ac:dyDescent="0.4">
      <c r="H98" s="7"/>
    </row>
    <row r="99" spans="8:19" ht="16" thickBot="1" x14ac:dyDescent="0.4">
      <c r="H99" s="1" t="s">
        <v>18</v>
      </c>
      <c r="I99" s="2" t="s">
        <v>15</v>
      </c>
      <c r="J99" s="2" t="s">
        <v>4</v>
      </c>
      <c r="K99" s="2" t="s">
        <v>5</v>
      </c>
      <c r="L99" s="2" t="s">
        <v>6</v>
      </c>
      <c r="O99" s="8" t="s">
        <v>4</v>
      </c>
      <c r="P99" s="8" t="s">
        <v>10</v>
      </c>
      <c r="Q99" s="8" t="s">
        <v>11</v>
      </c>
      <c r="R99" s="8" t="s">
        <v>12</v>
      </c>
      <c r="S99" s="8" t="s">
        <v>13</v>
      </c>
    </row>
    <row r="100" spans="8:19" ht="16" thickBot="1" x14ac:dyDescent="0.4">
      <c r="H100" s="5">
        <v>50</v>
      </c>
      <c r="I100" s="5">
        <v>1</v>
      </c>
      <c r="J100" s="3">
        <v>1</v>
      </c>
      <c r="K100" s="3">
        <v>0.21226700000000001</v>
      </c>
      <c r="L100" s="3">
        <f>$D$14/K100</f>
        <v>0.98970636038574056</v>
      </c>
      <c r="O100" s="11">
        <v>1</v>
      </c>
      <c r="P100" s="9">
        <v>0.98970636000000001</v>
      </c>
      <c r="Q100" s="9">
        <v>0.99787413599999997</v>
      </c>
      <c r="R100" s="9">
        <v>1.0052300139999999</v>
      </c>
      <c r="S100" s="9">
        <v>1.0068607999999999</v>
      </c>
    </row>
    <row r="101" spans="8:19" ht="16" thickBot="1" x14ac:dyDescent="0.4">
      <c r="H101" s="4"/>
      <c r="I101" s="4"/>
      <c r="J101" s="3">
        <v>2</v>
      </c>
      <c r="K101" s="3">
        <v>0.111119</v>
      </c>
      <c r="L101" s="3">
        <f t="shared" ref="L101:L107" si="12">$D$14/K101</f>
        <v>1.8906037671325335</v>
      </c>
      <c r="O101" s="11">
        <v>2</v>
      </c>
      <c r="P101" s="10">
        <v>1.890603767</v>
      </c>
      <c r="Q101" s="10">
        <v>1.9647185089999999</v>
      </c>
      <c r="R101" s="10">
        <v>1.9754142400000001</v>
      </c>
      <c r="S101" s="10">
        <v>1.991067097</v>
      </c>
    </row>
    <row r="102" spans="8:19" ht="16" thickBot="1" x14ac:dyDescent="0.4">
      <c r="H102" s="4"/>
      <c r="I102" s="4"/>
      <c r="J102" s="3">
        <v>4</v>
      </c>
      <c r="K102" s="3">
        <v>6.3164999999999999E-2</v>
      </c>
      <c r="L102" s="3">
        <f t="shared" si="12"/>
        <v>3.3259241668645609</v>
      </c>
      <c r="O102" s="11">
        <v>4</v>
      </c>
      <c r="P102" s="10">
        <v>3.3259241670000002</v>
      </c>
      <c r="Q102" s="10">
        <v>3.711906693</v>
      </c>
      <c r="R102" s="10">
        <v>3.7704621469999999</v>
      </c>
      <c r="S102" s="10">
        <v>3.906355129</v>
      </c>
    </row>
    <row r="103" spans="8:19" ht="16" thickBot="1" x14ac:dyDescent="0.4">
      <c r="H103" s="4"/>
      <c r="I103" s="4"/>
      <c r="J103" s="3">
        <v>8</v>
      </c>
      <c r="K103" s="3">
        <v>3.5396999999999998E-2</v>
      </c>
      <c r="L103" s="3">
        <f t="shared" si="12"/>
        <v>5.9350227420402861</v>
      </c>
      <c r="O103" s="11">
        <v>8</v>
      </c>
      <c r="P103" s="10">
        <v>5.9350227420000001</v>
      </c>
      <c r="Q103" s="10">
        <v>6.6514328139999996</v>
      </c>
      <c r="R103" s="10">
        <v>7.1575770969999999</v>
      </c>
      <c r="S103" s="10">
        <v>7.5140951139999999</v>
      </c>
    </row>
    <row r="104" spans="8:19" ht="16" thickBot="1" x14ac:dyDescent="0.4">
      <c r="H104" s="4"/>
      <c r="I104" s="4"/>
      <c r="J104" s="3">
        <v>16</v>
      </c>
      <c r="K104" s="3">
        <v>2.2571999999999998E-2</v>
      </c>
      <c r="L104" s="3">
        <f t="shared" si="12"/>
        <v>9.3071947545631755</v>
      </c>
      <c r="O104" s="11">
        <v>16</v>
      </c>
      <c r="P104" s="10">
        <v>9.3071947549999994</v>
      </c>
      <c r="Q104" s="10">
        <v>11.296657010000001</v>
      </c>
      <c r="R104" s="10">
        <v>12.896618269999999</v>
      </c>
      <c r="S104" s="10">
        <v>14.161138429999999</v>
      </c>
    </row>
    <row r="105" spans="8:19" ht="16" thickBot="1" x14ac:dyDescent="0.4">
      <c r="H105" s="4"/>
      <c r="I105" s="4"/>
      <c r="J105" s="3">
        <v>32</v>
      </c>
      <c r="K105" s="3">
        <v>1.5761000000000001E-2</v>
      </c>
      <c r="L105" s="3">
        <f t="shared" si="12"/>
        <v>13.329230378783071</v>
      </c>
      <c r="O105" s="11">
        <v>32</v>
      </c>
      <c r="P105" s="10">
        <v>13.32923038</v>
      </c>
      <c r="Q105" s="10">
        <v>18.20201453</v>
      </c>
      <c r="R105" s="10">
        <v>21.414663919999999</v>
      </c>
      <c r="S105" s="10">
        <v>24.69279581</v>
      </c>
    </row>
    <row r="106" spans="8:19" ht="16" thickBot="1" x14ac:dyDescent="0.4">
      <c r="H106" s="6"/>
      <c r="I106" s="6"/>
      <c r="J106" s="3">
        <v>64</v>
      </c>
      <c r="K106" s="3">
        <v>1.7999000000000001E-2</v>
      </c>
      <c r="L106" s="3">
        <f t="shared" si="12"/>
        <v>11.671870659481081</v>
      </c>
      <c r="O106" s="11">
        <v>64</v>
      </c>
      <c r="P106" s="10">
        <v>11.67187066</v>
      </c>
      <c r="Q106" s="10">
        <v>12.984919509999999</v>
      </c>
      <c r="R106" s="10">
        <v>13.86152403</v>
      </c>
      <c r="S106" s="10">
        <v>13.578314260000001</v>
      </c>
    </row>
    <row r="107" spans="8:19" ht="16" thickBot="1" x14ac:dyDescent="0.4">
      <c r="H107" s="5">
        <v>100</v>
      </c>
      <c r="I107" s="5">
        <v>1</v>
      </c>
      <c r="J107" s="3">
        <v>1</v>
      </c>
      <c r="K107" s="3">
        <v>0.42194599999999999</v>
      </c>
      <c r="L107" s="3">
        <f>$D$15/K107</f>
        <v>0.99787413555289073</v>
      </c>
    </row>
    <row r="108" spans="8:19" ht="16" thickBot="1" x14ac:dyDescent="0.4">
      <c r="H108" s="4"/>
      <c r="I108" s="4"/>
      <c r="J108" s="3">
        <v>2</v>
      </c>
      <c r="K108" s="3">
        <v>0.214305</v>
      </c>
      <c r="L108" s="3">
        <f t="shared" ref="L108:L114" si="13">$D$15/K108</f>
        <v>1.9647185086675534</v>
      </c>
    </row>
    <row r="109" spans="8:19" ht="16" thickBot="1" x14ac:dyDescent="0.4">
      <c r="H109" s="4"/>
      <c r="I109" s="4"/>
      <c r="J109" s="3">
        <v>4</v>
      </c>
      <c r="K109" s="3">
        <v>0.11343200000000001</v>
      </c>
      <c r="L109" s="3">
        <f t="shared" si="13"/>
        <v>3.7119066929966853</v>
      </c>
    </row>
    <row r="110" spans="8:19" ht="16" thickBot="1" x14ac:dyDescent="0.4">
      <c r="H110" s="4"/>
      <c r="I110" s="4"/>
      <c r="J110" s="3">
        <v>8</v>
      </c>
      <c r="K110" s="3">
        <v>6.3301999999999997E-2</v>
      </c>
      <c r="L110" s="3">
        <f t="shared" si="13"/>
        <v>6.6514328141290955</v>
      </c>
    </row>
    <row r="111" spans="8:19" ht="16" thickBot="1" x14ac:dyDescent="0.4">
      <c r="H111" s="4"/>
      <c r="I111" s="4"/>
      <c r="J111" s="3">
        <v>16</v>
      </c>
      <c r="K111" s="3">
        <v>3.7272E-2</v>
      </c>
      <c r="L111" s="3">
        <f t="shared" si="13"/>
        <v>11.296657007941619</v>
      </c>
    </row>
    <row r="112" spans="8:19" ht="16" thickBot="1" x14ac:dyDescent="0.4">
      <c r="H112" s="4"/>
      <c r="I112" s="4"/>
      <c r="J112" s="3">
        <v>32</v>
      </c>
      <c r="K112" s="3">
        <v>2.3132E-2</v>
      </c>
      <c r="L112" s="3">
        <f t="shared" si="13"/>
        <v>18.202014525332874</v>
      </c>
    </row>
    <row r="113" spans="8:12" ht="16" thickBot="1" x14ac:dyDescent="0.4">
      <c r="H113" s="6"/>
      <c r="I113" s="6"/>
      <c r="J113" s="3">
        <v>64</v>
      </c>
      <c r="K113" s="3">
        <v>3.2426000000000003E-2</v>
      </c>
      <c r="L113" s="3">
        <f t="shared" si="13"/>
        <v>12.984919509035958</v>
      </c>
    </row>
    <row r="114" spans="8:12" ht="16" thickBot="1" x14ac:dyDescent="0.4">
      <c r="H114" s="5">
        <v>200</v>
      </c>
      <c r="I114" s="5">
        <v>1</v>
      </c>
      <c r="J114" s="3">
        <v>1</v>
      </c>
      <c r="K114" s="3">
        <v>0.83766499999999999</v>
      </c>
      <c r="L114" s="3">
        <f>$D$16/K114</f>
        <v>1.0052300143852255</v>
      </c>
    </row>
    <row r="115" spans="8:12" ht="16" thickBot="1" x14ac:dyDescent="0.4">
      <c r="H115" s="4"/>
      <c r="I115" s="4"/>
      <c r="J115" s="3">
        <v>2</v>
      </c>
      <c r="K115" s="3">
        <v>0.426263</v>
      </c>
      <c r="L115" s="3">
        <f t="shared" ref="L115:L121" si="14">$D$16/K115</f>
        <v>1.9754142395657139</v>
      </c>
    </row>
    <row r="116" spans="8:12" ht="16" thickBot="1" x14ac:dyDescent="0.4">
      <c r="H116" s="4"/>
      <c r="I116" s="4"/>
      <c r="J116" s="3">
        <v>4</v>
      </c>
      <c r="K116" s="3">
        <v>0.223327</v>
      </c>
      <c r="L116" s="3">
        <f t="shared" si="14"/>
        <v>3.7704621474340314</v>
      </c>
    </row>
    <row r="117" spans="8:12" ht="16" thickBot="1" x14ac:dyDescent="0.4">
      <c r="H117" s="4"/>
      <c r="I117" s="4"/>
      <c r="J117" s="3">
        <v>8</v>
      </c>
      <c r="K117" s="3">
        <v>0.117644</v>
      </c>
      <c r="L117" s="3">
        <f t="shared" si="14"/>
        <v>7.1575770970045216</v>
      </c>
    </row>
    <row r="118" spans="8:12" ht="16" thickBot="1" x14ac:dyDescent="0.4">
      <c r="H118" s="4"/>
      <c r="I118" s="4"/>
      <c r="J118" s="3">
        <v>16</v>
      </c>
      <c r="K118" s="3">
        <v>6.5292000000000003E-2</v>
      </c>
      <c r="L118" s="3">
        <f t="shared" si="14"/>
        <v>12.896618268700605</v>
      </c>
    </row>
    <row r="119" spans="8:12" ht="16" thickBot="1" x14ac:dyDescent="0.4">
      <c r="H119" s="4"/>
      <c r="I119" s="4"/>
      <c r="J119" s="3">
        <v>32</v>
      </c>
      <c r="K119" s="3">
        <v>3.9321000000000002E-2</v>
      </c>
      <c r="L119" s="3">
        <f t="shared" si="14"/>
        <v>21.414663920042724</v>
      </c>
    </row>
    <row r="120" spans="8:12" ht="16" thickBot="1" x14ac:dyDescent="0.4">
      <c r="H120" s="6"/>
      <c r="I120" s="6"/>
      <c r="J120" s="3">
        <v>64</v>
      </c>
      <c r="K120" s="3">
        <v>6.0747000000000002E-2</v>
      </c>
      <c r="L120" s="3">
        <f t="shared" si="14"/>
        <v>13.86152402587782</v>
      </c>
    </row>
    <row r="121" spans="8:12" ht="16" thickBot="1" x14ac:dyDescent="0.4">
      <c r="H121" s="5">
        <v>500</v>
      </c>
      <c r="I121" s="5">
        <v>1</v>
      </c>
      <c r="J121" s="3">
        <v>1</v>
      </c>
      <c r="K121" s="3">
        <v>2.0908639999999998</v>
      </c>
      <c r="L121" s="3">
        <f>$D$17/K121</f>
        <v>1.0068608001285593</v>
      </c>
    </row>
    <row r="122" spans="8:12" ht="16" thickBot="1" x14ac:dyDescent="0.4">
      <c r="H122" s="4"/>
      <c r="I122" s="4"/>
      <c r="J122" s="3">
        <v>2</v>
      </c>
      <c r="K122" s="3">
        <v>1.0573269999999999</v>
      </c>
      <c r="L122" s="3">
        <f t="shared" ref="L122:L127" si="15">$D$17/K122</f>
        <v>1.9910670965557487</v>
      </c>
    </row>
    <row r="123" spans="8:12" ht="16" thickBot="1" x14ac:dyDescent="0.4">
      <c r="H123" s="4"/>
      <c r="I123" s="4"/>
      <c r="J123" s="3">
        <v>4</v>
      </c>
      <c r="K123" s="3">
        <v>0.53891900000000004</v>
      </c>
      <c r="L123" s="3">
        <f t="shared" si="15"/>
        <v>3.9063551294350352</v>
      </c>
    </row>
    <row r="124" spans="8:12" ht="16" thickBot="1" x14ac:dyDescent="0.4">
      <c r="H124" s="4"/>
      <c r="I124" s="4"/>
      <c r="J124" s="3">
        <v>8</v>
      </c>
      <c r="K124" s="3">
        <v>0.28016799999999997</v>
      </c>
      <c r="L124" s="3">
        <f t="shared" si="15"/>
        <v>7.5140951143599555</v>
      </c>
    </row>
    <row r="125" spans="8:12" ht="16" thickBot="1" x14ac:dyDescent="0.4">
      <c r="H125" s="4"/>
      <c r="I125" s="4"/>
      <c r="J125" s="3">
        <v>16</v>
      </c>
      <c r="K125" s="3">
        <v>0.14866099999999999</v>
      </c>
      <c r="L125" s="3">
        <f t="shared" si="15"/>
        <v>14.161138429043261</v>
      </c>
    </row>
    <row r="126" spans="8:12" ht="16" thickBot="1" x14ac:dyDescent="0.4">
      <c r="H126" s="4"/>
      <c r="I126" s="4"/>
      <c r="J126" s="3">
        <v>32</v>
      </c>
      <c r="K126" s="3">
        <v>8.5255999999999998E-2</v>
      </c>
      <c r="L126" s="3">
        <f t="shared" si="15"/>
        <v>24.692795814957304</v>
      </c>
    </row>
    <row r="127" spans="8:12" ht="16" thickBot="1" x14ac:dyDescent="0.4">
      <c r="H127" s="6"/>
      <c r="I127" s="6"/>
      <c r="J127" s="3">
        <v>64</v>
      </c>
      <c r="K127" s="3">
        <v>0.15504200000000001</v>
      </c>
      <c r="L127" s="3">
        <f t="shared" si="15"/>
        <v>13.578314263231897</v>
      </c>
    </row>
  </sheetData>
  <mergeCells count="40">
    <mergeCell ref="H114:H120"/>
    <mergeCell ref="I114:I120"/>
    <mergeCell ref="H121:H127"/>
    <mergeCell ref="I121:I127"/>
    <mergeCell ref="H89:H95"/>
    <mergeCell ref="I89:I95"/>
    <mergeCell ref="H100:H106"/>
    <mergeCell ref="I100:I106"/>
    <mergeCell ref="H107:H113"/>
    <mergeCell ref="I107:I113"/>
    <mergeCell ref="H68:H74"/>
    <mergeCell ref="I68:I74"/>
    <mergeCell ref="H75:H81"/>
    <mergeCell ref="I75:I81"/>
    <mergeCell ref="H82:H88"/>
    <mergeCell ref="I82:I88"/>
    <mergeCell ref="H43:H49"/>
    <mergeCell ref="I43:I49"/>
    <mergeCell ref="H50:H56"/>
    <mergeCell ref="I50:I56"/>
    <mergeCell ref="H57:H63"/>
    <mergeCell ref="I57:I63"/>
    <mergeCell ref="H18:H24"/>
    <mergeCell ref="I18:I24"/>
    <mergeCell ref="H25:H31"/>
    <mergeCell ref="I25:I31"/>
    <mergeCell ref="H36:H42"/>
    <mergeCell ref="I36:I42"/>
    <mergeCell ref="A14:A17"/>
    <mergeCell ref="B14:B17"/>
    <mergeCell ref="H4:H10"/>
    <mergeCell ref="I4:I10"/>
    <mergeCell ref="H11:H17"/>
    <mergeCell ref="I11:I17"/>
    <mergeCell ref="A2:A5"/>
    <mergeCell ref="B2:B5"/>
    <mergeCell ref="A6:A9"/>
    <mergeCell ref="B6:B9"/>
    <mergeCell ref="A10:A13"/>
    <mergeCell ref="B10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</dc:creator>
  <cp:lastModifiedBy>asus vivo</cp:lastModifiedBy>
  <dcterms:created xsi:type="dcterms:W3CDTF">2026-05-30T11:27:06Z</dcterms:created>
  <dcterms:modified xsi:type="dcterms:W3CDTF">2026-05-30T21:07:13Z</dcterms:modified>
</cp:coreProperties>
</file>