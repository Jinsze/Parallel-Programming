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8_{EA2958DE-F4F5-4B45-AA9C-F6106D10A002}" xr6:coauthVersionLast="47" xr6:coauthVersionMax="47" xr10:uidLastSave="{00000000-0000-0000-0000-000000000000}"/>
  <bookViews>
    <workbookView xWindow="-90" yWindow="0" windowWidth="9780" windowHeight="10170" xr2:uid="{C7D48025-1CB6-4A22-8FC9-B421591875F6}"/>
  </bookViews>
  <sheets>
    <sheet name="Shell Sort" sheetId="1" r:id="rId1"/>
    <sheet name="Radix S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5" i="2"/>
  <c r="D26" i="2"/>
  <c r="D27" i="2"/>
  <c r="D28" i="2"/>
  <c r="D22" i="2"/>
  <c r="D16" i="2"/>
  <c r="D17" i="2"/>
  <c r="D18" i="2"/>
  <c r="D19" i="2"/>
  <c r="D20" i="2"/>
  <c r="D21" i="2"/>
  <c r="D15" i="2"/>
  <c r="D8" i="2"/>
  <c r="D9" i="2"/>
  <c r="D10" i="2"/>
  <c r="D11" i="2"/>
  <c r="D12" i="2"/>
  <c r="D13" i="2"/>
  <c r="D14" i="2"/>
  <c r="D22" i="1"/>
  <c r="D17" i="1"/>
  <c r="D18" i="1"/>
  <c r="D19" i="1"/>
  <c r="D20" i="1"/>
  <c r="D21" i="1"/>
  <c r="D16" i="1"/>
  <c r="D10" i="1"/>
  <c r="D11" i="1"/>
  <c r="D12" i="1"/>
  <c r="D13" i="1"/>
  <c r="D14" i="1"/>
  <c r="D15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<sst xmlns="http://schemas.openxmlformats.org/spreadsheetml/2006/main" count="20" uniqueCount="8">
  <si>
    <t>Input Size (Million)</t>
  </si>
  <si>
    <t>Threads</t>
  </si>
  <si>
    <t>Execution Time (ns)</t>
  </si>
  <si>
    <t>Speed Up</t>
  </si>
  <si>
    <t>Execution time (ns)</t>
  </si>
  <si>
    <t>Input Size (5 M)</t>
  </si>
  <si>
    <t>Input Size (10 M)</t>
  </si>
  <si>
    <t>Input Szie (30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</si>
</sst>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70C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1" fillId="4" borderId="6" xfId="0" applyFont="1" applyFill="1" applyBorder="1" applyAlignment="1">
      <alignment horizontal="justify"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1" fillId="4" borderId="4" xfId="0" applyFont="1" applyFill="1" applyBorder="1" applyAlignment="1">
      <alignment horizontal="justify" vertical="center" wrapText="1"/>
    </xf>
    <xf numFmtId="0" fontId="1" fillId="4" borderId="3" xfId="0" applyFont="1" applyFill="1" applyBorder="1" applyAlignment="1">
      <alignment horizontal="justify" vertical="center" wrapText="1"/>
    </xf>
    <xf numFmtId="0" fontId="1" fillId="5" borderId="6" xfId="0" applyFont="1" applyFill="1" applyBorder="1" applyAlignment="1">
      <alignment horizontal="justify"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5" borderId="4" xfId="0" applyFont="1" applyFill="1" applyBorder="1" applyAlignment="1">
      <alignment horizontal="justify" vertical="center" wrapText="1"/>
    </xf>
    <xf numFmtId="0" fontId="1" fillId="5" borderId="3" xfId="0" applyFont="1" applyFill="1" applyBorder="1" applyAlignment="1">
      <alignment horizontal="justify" vertical="center" wrapText="1"/>
    </xf>
    <xf numFmtId="0" fontId="1" fillId="6" borderId="6" xfId="0" applyFont="1" applyFill="1" applyBorder="1" applyAlignment="1">
      <alignment horizontal="justify" vertical="center" wrapText="1"/>
    </xf>
    <xf numFmtId="0" fontId="1" fillId="6" borderId="5" xfId="0" applyFont="1" applyFill="1" applyBorder="1" applyAlignment="1">
      <alignment horizontal="justify" vertical="center" wrapText="1"/>
    </xf>
    <xf numFmtId="0" fontId="1" fillId="6" borderId="4" xfId="0" applyFont="1" applyFill="1" applyBorder="1" applyAlignment="1">
      <alignment horizontal="justify" vertical="center" wrapText="1"/>
    </xf>
    <xf numFmtId="0" fontId="1" fillId="6" borderId="3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7" xfId="0" applyFont="1" applyFill="1" applyBorder="1" applyAlignment="1">
      <alignment horizontal="justify" vertical="center" wrapText="1"/>
    </xf>
    <xf numFmtId="0" fontId="0" fillId="0" borderId="7" xfId="0" applyBorder="1"/>
    <xf numFmtId="0" fontId="2" fillId="0" borderId="7" xfId="0" applyFont="1" applyFill="1" applyBorder="1" applyAlignment="1">
      <alignment horizontal="justify" vertical="center" wrapText="1"/>
    </xf>
    <xf numFmtId="0" fontId="3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Scalability of Parallel Execution</a:t>
            </a:r>
            <a:endParaRPr lang="en-MY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'Shell Sort'!$H$1</c:f>
              <c:strCache>
                <c:ptCount val="1"/>
                <c:pt idx="0">
                  <c:v>Input Size (5 M)</c:v>
                </c:pt>
              </c:strCache>
            </c:strRef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'Shell Sort'!$G$2:$G$8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'Shell Sort'!$H$2:$H$8</c:f>
              <c:numCache>
                <c:formatCode>General</c:formatCode>
                <c:ptCount val="7"/>
                <c:pt idx="0">
                  <c:v>0.92791444416870394</c:v>
                </c:pt>
                <c:pt idx="1">
                  <c:v>0.64586509846157791</c:v>
                </c:pt>
                <c:pt idx="2">
                  <c:v>1.2474242101164581</c:v>
                </c:pt>
                <c:pt idx="3">
                  <c:v>3.7534371148198069</c:v>
                </c:pt>
                <c:pt idx="4">
                  <c:v>5.464935651911353</c:v>
                </c:pt>
                <c:pt idx="5">
                  <c:v>3.756124807534861</c:v>
                </c:pt>
                <c:pt idx="6">
                  <c:v>3.5957021976041594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3-4327-B0AC-CA97368C561E}"/>
            </c:ext>
          </c:extLst>
        </c:ser>
        <c:ser>
          <c:idx val="2"/>
          <c:order val="1"/>
          <c:tx>
            <c:strRef>
              <c:f>'Shell Sort'!$I$1</c:f>
              <c:strCache>
                <c:ptCount val="1"/>
                <c:pt idx="0">
                  <c:v>Input Size (10 M)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'Shell Sort'!$G$2:$G$8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'Shell Sort'!$I$2:$I$8</c:f>
              <c:numCache>
                <c:formatCode>General</c:formatCode>
                <c:ptCount val="7"/>
                <c:pt idx="0">
                  <c:v>0.89111939293105236</c:v>
                </c:pt>
                <c:pt idx="1">
                  <c:v>0.61305724134095851</c:v>
                </c:pt>
                <c:pt idx="2">
                  <c:v>1.0476491317852004</c:v>
                </c:pt>
                <c:pt idx="3">
                  <c:v>1.882915823979378</c:v>
                </c:pt>
                <c:pt idx="4">
                  <c:v>4.680873035073593</c:v>
                </c:pt>
                <c:pt idx="5">
                  <c:v>3.8968801496098115</c:v>
                </c:pt>
                <c:pt idx="6">
                  <c:v>3.9301234457172858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3-4327-B0AC-CA97368C561E}"/>
            </c:ext>
          </c:extLst>
        </c:ser>
        <c:ser>
          <c:idx val="3"/>
          <c:order val="2"/>
          <c:tx>
            <c:strRef>
              <c:f>'Shell Sort'!$J$1</c:f>
              <c:strCache>
                <c:ptCount val="1"/>
                <c:pt idx="0">
                  <c:v>Input Szie (30 M)</c:v>
                </c:pt>
              </c:strCache>
            </c:strRef>
          </c:tx>
          <c:spPr>
            <a:ln w="2540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'Shell Sort'!$G$2:$G$8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'Shell Sort'!$J$2:$J$8</c:f>
              <c:numCache>
                <c:formatCode>General</c:formatCode>
                <c:ptCount val="7"/>
                <c:pt idx="0">
                  <c:v>0.74582287627530353</c:v>
                </c:pt>
                <c:pt idx="1">
                  <c:v>0.5184251814103743</c:v>
                </c:pt>
                <c:pt idx="2">
                  <c:v>0.72711728581415236</c:v>
                </c:pt>
                <c:pt idx="3">
                  <c:v>1.7505361114726203</c:v>
                </c:pt>
                <c:pt idx="4">
                  <c:v>2.5349191220225746</c:v>
                </c:pt>
                <c:pt idx="5">
                  <c:v>3.1665881904949407</c:v>
                </c:pt>
                <c:pt idx="6">
                  <c:v>3.8252387428298729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3-4327-B0AC-CA97368C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923023"/>
        <c:axId val="984924463"/>
      </c:lineChart>
      <c:catAx>
        <c:axId val="98492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MY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Threads</a:t>
                </a:r>
                <a:endParaRPr lang="en-MY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24463"/>
        <c:crosses val="autoZero"/>
        <c:auto val="1"/>
        <c:lblAlgn val="ctr"/>
        <c:lblOffset val="100"/>
        <c:noMultiLvlLbl val="0"/>
      </c:catAx>
      <c:valAx>
        <c:axId val="98492446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2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>
                <a:latin typeface="Times New Roman" panose="02020603050405020304" pitchFamily="18" charset="0"/>
                <a:cs typeface="Times New Roman" panose="02020603050405020304" pitchFamily="18" charset="0"/>
              </a:rPr>
              <a:t>Scalability of Parallel Execution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'Radix Sort'!$J$1</c:f>
              <c:strCache>
                <c:ptCount val="1"/>
                <c:pt idx="0">
                  <c:v>Input Size (5 M)</c:v>
                </c:pt>
              </c:strCache>
            </c:strRef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'Radix Sort'!$I$2:$I$8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'Radix Sort'!$J$2:$J$8</c:f>
              <c:numCache>
                <c:formatCode>General</c:formatCode>
                <c:ptCount val="7"/>
                <c:pt idx="0">
                  <c:v>0.10577853806913047</c:v>
                </c:pt>
                <c:pt idx="1">
                  <c:v>0.16564523658320635</c:v>
                </c:pt>
                <c:pt idx="2">
                  <c:v>0.33468489440700466</c:v>
                </c:pt>
                <c:pt idx="3">
                  <c:v>0.66255191950816184</c:v>
                </c:pt>
                <c:pt idx="4">
                  <c:v>1.2993094553229014</c:v>
                </c:pt>
                <c:pt idx="5">
                  <c:v>2.0769784750442386</c:v>
                </c:pt>
                <c:pt idx="6">
                  <c:v>1.9285781997079778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D-437A-BBDC-48B0FCFE9F71}"/>
            </c:ext>
          </c:extLst>
        </c:ser>
        <c:ser>
          <c:idx val="2"/>
          <c:order val="1"/>
          <c:tx>
            <c:strRef>
              <c:f>'Radix Sort'!$K$1</c:f>
              <c:strCache>
                <c:ptCount val="1"/>
                <c:pt idx="0">
                  <c:v>Input Size (10 M)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'Radix Sort'!$I$2:$I$8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'Radix Sort'!$K$2:$K$8</c:f>
              <c:numCache>
                <c:formatCode>General</c:formatCode>
                <c:ptCount val="7"/>
                <c:pt idx="0">
                  <c:v>0.11039989975697173</c:v>
                </c:pt>
                <c:pt idx="1">
                  <c:v>0.16958804623675275</c:v>
                </c:pt>
                <c:pt idx="2">
                  <c:v>0.33650104016127408</c:v>
                </c:pt>
                <c:pt idx="3">
                  <c:v>0.70034915500700901</c:v>
                </c:pt>
                <c:pt idx="4">
                  <c:v>1.3648398064991898</c:v>
                </c:pt>
                <c:pt idx="5">
                  <c:v>2.4379729957481766</c:v>
                </c:pt>
                <c:pt idx="6">
                  <c:v>2.0589709148104136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AD-437A-BBDC-48B0FCFE9F71}"/>
            </c:ext>
          </c:extLst>
        </c:ser>
        <c:ser>
          <c:idx val="3"/>
          <c:order val="2"/>
          <c:tx>
            <c:strRef>
              <c:f>'Radix Sort'!$L$1</c:f>
              <c:strCache>
                <c:ptCount val="1"/>
                <c:pt idx="0">
                  <c:v>Input Szie (30 M)</c:v>
                </c:pt>
              </c:strCache>
            </c:strRef>
          </c:tx>
          <c:spPr>
            <a:ln w="2540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'Radix Sort'!$I$2:$I$8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'Radix Sort'!$L$2:$L$8</c:f>
              <c:numCache>
                <c:formatCode>General</c:formatCode>
                <c:ptCount val="7"/>
                <c:pt idx="0">
                  <c:v>0.10990206650230677</c:v>
                </c:pt>
                <c:pt idx="1">
                  <c:v>0.16805362170380067</c:v>
                </c:pt>
                <c:pt idx="2">
                  <c:v>0.33394320164361524</c:v>
                </c:pt>
                <c:pt idx="3">
                  <c:v>0.65866807870165178</c:v>
                </c:pt>
                <c:pt idx="4">
                  <c:v>1.3400978338675045</c:v>
                </c:pt>
                <c:pt idx="5">
                  <c:v>2.4656484081625272</c:v>
                </c:pt>
                <c:pt idx="6">
                  <c:v>2.4028854992703312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AD-437A-BBDC-48B0FCFE9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449999"/>
        <c:axId val="985451919"/>
      </c:lineChart>
      <c:catAx>
        <c:axId val="98544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</a:t>
                </a:r>
                <a:r>
                  <a:rPr lang="en-MY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Threads</a:t>
                </a:r>
                <a:endParaRPr lang="en-MY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51919"/>
        <c:crosses val="autoZero"/>
        <c:auto val="1"/>
        <c:lblAlgn val="ctr"/>
        <c:lblOffset val="100"/>
        <c:noMultiLvlLbl val="0"/>
      </c:catAx>
      <c:valAx>
        <c:axId val="98545191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  <a:alpha val="57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505479491870058"/>
          <c:y val="0.85520476169743365"/>
          <c:w val="0.31274647549953249"/>
          <c:h val="0.13672305647126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552734</xdr:colOff>
      <xdr:row>11</xdr:row>
      <xdr:rowOff>128884</xdr:rowOff>
    </xdr:from>
    <xdr:to>
      <xdr:col>11</xdr:col>
      <xdr:colOff>27374</xdr:colOff>
      <xdr:row>27</xdr:row>
      <xdr:rowOff>63446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CADAF3-A63C-9060-99DB-B073485B3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523185</xdr:colOff>
      <xdr:row>10</xdr:row>
      <xdr:rowOff>67502</xdr:rowOff>
    </xdr:from>
    <xdr:to>
      <xdr:col>13</xdr:col>
      <xdr:colOff>197556</xdr:colOff>
      <xdr:row>25</xdr:row>
      <xdr:rowOff>144945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309BF-F9B0-B64E-5635-805714C7D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13FF-30C6-4DF3-8DCF-C4B6F86A4C88}">
  <dimension ref="A1:J28"/>
  <sheetViews>
    <sheetView tabSelected="1" zoomScale="83" workbookViewId="0">
      <selection activeCell="B31" sqref="B31"/>
    </sheetView>
  </sheetViews>
  <sheetFormatPr defaultRowHeight="14.5" x14ac:dyDescent="0.35"/>
  <cols>
    <col min="1" max="1" width="20.36328125" customWidth="1"/>
    <col min="2" max="2" width="22" customWidth="1"/>
    <col min="3" max="3" width="21.90625" customWidth="1"/>
    <col min="4" max="4" width="31.81640625" customWidth="1"/>
    <col min="8" max="8" width="24.6328125" customWidth="1"/>
    <col min="9" max="9" width="16" customWidth="1"/>
    <col min="10" max="10" width="21" customWidth="1"/>
  </cols>
  <sheetData>
    <row r="1" spans="1:10" ht="31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G1" s="25" t="s">
        <v>1</v>
      </c>
      <c r="H1" s="26" t="s">
        <v>5</v>
      </c>
      <c r="I1" s="26" t="s">
        <v>6</v>
      </c>
      <c r="J1" s="26" t="s">
        <v>7</v>
      </c>
    </row>
    <row r="2" spans="1:10" ht="16" thickBot="1" x14ac:dyDescent="0.4">
      <c r="A2" s="5">
        <v>5</v>
      </c>
      <c r="B2" s="6">
        <v>1</v>
      </c>
      <c r="C2" s="6">
        <v>997104776</v>
      </c>
      <c r="D2" s="6">
        <f>$B$26/C2</f>
        <v>0.92791444416870394</v>
      </c>
      <c r="G2" s="26">
        <v>1</v>
      </c>
      <c r="H2" s="27">
        <v>0.92791444416870394</v>
      </c>
      <c r="I2" s="27">
        <v>0.89111939293105236</v>
      </c>
      <c r="J2" s="27">
        <v>0.74582287627530353</v>
      </c>
    </row>
    <row r="3" spans="1:10" ht="16" thickBot="1" x14ac:dyDescent="0.4">
      <c r="A3" s="7"/>
      <c r="B3" s="6">
        <v>2</v>
      </c>
      <c r="C3" s="6">
        <v>1432540520</v>
      </c>
      <c r="D3" s="6">
        <f t="shared" ref="D3:D8" si="0">$B$26/C3</f>
        <v>0.64586509846157791</v>
      </c>
      <c r="G3" s="26">
        <v>2</v>
      </c>
      <c r="H3" s="27">
        <v>0.64586509846157791</v>
      </c>
      <c r="I3" s="27">
        <v>0.61305724134095851</v>
      </c>
      <c r="J3" s="27">
        <v>0.5184251814103743</v>
      </c>
    </row>
    <row r="4" spans="1:10" ht="16" thickBot="1" x14ac:dyDescent="0.4">
      <c r="A4" s="7"/>
      <c r="B4" s="6">
        <v>4</v>
      </c>
      <c r="C4" s="6">
        <v>741710732</v>
      </c>
      <c r="D4" s="6">
        <f t="shared" si="0"/>
        <v>1.2474242101164581</v>
      </c>
      <c r="G4" s="26">
        <v>4</v>
      </c>
      <c r="H4" s="27">
        <v>1.2474242101164581</v>
      </c>
      <c r="I4" s="27">
        <v>1.0476491317852004</v>
      </c>
      <c r="J4" s="27">
        <v>0.72711728581415236</v>
      </c>
    </row>
    <row r="5" spans="1:10" ht="16" thickBot="1" x14ac:dyDescent="0.4">
      <c r="A5" s="7"/>
      <c r="B5" s="6">
        <v>8</v>
      </c>
      <c r="C5" s="6">
        <v>246501512</v>
      </c>
      <c r="D5" s="6">
        <f t="shared" si="0"/>
        <v>3.7534371148198069</v>
      </c>
      <c r="G5" s="26">
        <v>8</v>
      </c>
      <c r="H5" s="27">
        <v>3.7534371148198069</v>
      </c>
      <c r="I5" s="27">
        <v>1.882915823979378</v>
      </c>
      <c r="J5" s="27">
        <v>1.7505361114726203</v>
      </c>
    </row>
    <row r="6" spans="1:10" ht="16" thickBot="1" x14ac:dyDescent="0.4">
      <c r="A6" s="7"/>
      <c r="B6" s="6">
        <v>16</v>
      </c>
      <c r="C6" s="6">
        <v>169302620</v>
      </c>
      <c r="D6" s="6">
        <f t="shared" si="0"/>
        <v>5.464935651911353</v>
      </c>
      <c r="G6" s="26">
        <v>16</v>
      </c>
      <c r="H6" s="27">
        <v>5.464935651911353</v>
      </c>
      <c r="I6" s="27">
        <v>4.680873035073593</v>
      </c>
      <c r="J6" s="27">
        <v>2.5349191220225746</v>
      </c>
    </row>
    <row r="7" spans="1:10" ht="16" thickBot="1" x14ac:dyDescent="0.4">
      <c r="A7" s="7"/>
      <c r="B7" s="6">
        <v>32</v>
      </c>
      <c r="C7" s="6">
        <v>246325128</v>
      </c>
      <c r="D7" s="6">
        <f t="shared" si="0"/>
        <v>3.756124807534861</v>
      </c>
      <c r="G7" s="26">
        <v>32</v>
      </c>
      <c r="H7" s="27">
        <v>3.756124807534861</v>
      </c>
      <c r="I7" s="27">
        <v>3.8968801496098115</v>
      </c>
      <c r="J7" s="27">
        <v>3.1665881904949407</v>
      </c>
    </row>
    <row r="8" spans="1:10" ht="16" thickBot="1" x14ac:dyDescent="0.4">
      <c r="A8" s="8"/>
      <c r="B8" s="6">
        <v>64</v>
      </c>
      <c r="C8" s="6">
        <v>257314948</v>
      </c>
      <c r="D8" s="6">
        <f t="shared" si="0"/>
        <v>3.5957021976041594</v>
      </c>
      <c r="G8" s="26">
        <v>64</v>
      </c>
      <c r="H8" s="27">
        <v>3.5957021976041594</v>
      </c>
      <c r="I8" s="27">
        <v>3.9301234457172858</v>
      </c>
      <c r="J8" s="27">
        <v>3.8252387428298729</v>
      </c>
    </row>
    <row r="9" spans="1:10" ht="16" thickBot="1" x14ac:dyDescent="0.4">
      <c r="A9" s="9">
        <v>10</v>
      </c>
      <c r="B9" s="10">
        <v>1</v>
      </c>
      <c r="C9" s="10">
        <v>2380364612</v>
      </c>
      <c r="D9" s="10">
        <f>$B$27/C9</f>
        <v>0.89111939293105236</v>
      </c>
    </row>
    <row r="10" spans="1:10" ht="16" thickBot="1" x14ac:dyDescent="0.4">
      <c r="A10" s="11"/>
      <c r="B10" s="10">
        <v>2</v>
      </c>
      <c r="C10" s="10">
        <v>3460017964</v>
      </c>
      <c r="D10" s="10">
        <f t="shared" ref="D10:D15" si="1">$B$27/C10</f>
        <v>0.61305724134095851</v>
      </c>
    </row>
    <row r="11" spans="1:10" ht="16" thickBot="1" x14ac:dyDescent="0.4">
      <c r="A11" s="11"/>
      <c r="B11" s="10">
        <v>4</v>
      </c>
      <c r="C11" s="10">
        <v>2024713240</v>
      </c>
      <c r="D11" s="10">
        <f t="shared" si="1"/>
        <v>1.0476491317852004</v>
      </c>
    </row>
    <row r="12" spans="1:10" ht="16" thickBot="1" x14ac:dyDescent="0.4">
      <c r="A12" s="11"/>
      <c r="B12" s="10">
        <v>8</v>
      </c>
      <c r="C12" s="10">
        <v>1126544820</v>
      </c>
      <c r="D12" s="10">
        <f t="shared" si="1"/>
        <v>1.882915823979378</v>
      </c>
    </row>
    <row r="13" spans="1:10" ht="16" thickBot="1" x14ac:dyDescent="0.4">
      <c r="A13" s="11"/>
      <c r="B13" s="10">
        <v>16</v>
      </c>
      <c r="C13" s="10">
        <v>453160992</v>
      </c>
      <c r="D13" s="10">
        <f t="shared" si="1"/>
        <v>4.680873035073593</v>
      </c>
    </row>
    <row r="14" spans="1:10" ht="16" thickBot="1" x14ac:dyDescent="0.4">
      <c r="A14" s="11"/>
      <c r="B14" s="10">
        <v>32</v>
      </c>
      <c r="C14" s="10">
        <v>544330076</v>
      </c>
      <c r="D14" s="10">
        <f t="shared" si="1"/>
        <v>3.8968801496098115</v>
      </c>
    </row>
    <row r="15" spans="1:10" ht="16" thickBot="1" x14ac:dyDescent="0.4">
      <c r="A15" s="12"/>
      <c r="B15" s="10">
        <v>64</v>
      </c>
      <c r="C15" s="10">
        <v>539725812</v>
      </c>
      <c r="D15" s="10">
        <f t="shared" si="1"/>
        <v>3.9301234457172858</v>
      </c>
    </row>
    <row r="16" spans="1:10" ht="16" thickBot="1" x14ac:dyDescent="0.4">
      <c r="A16" s="17">
        <v>30</v>
      </c>
      <c r="B16" s="18">
        <v>1</v>
      </c>
      <c r="C16" s="18">
        <v>9357800864</v>
      </c>
      <c r="D16" s="18">
        <f>$B$28/C16</f>
        <v>0.74582287627530353</v>
      </c>
    </row>
    <row r="17" spans="1:4" ht="16" thickBot="1" x14ac:dyDescent="0.4">
      <c r="A17" s="19"/>
      <c r="B17" s="18">
        <v>2</v>
      </c>
      <c r="C17" s="18">
        <v>13462428536</v>
      </c>
      <c r="D17" s="18">
        <f t="shared" ref="D17:D22" si="2">$B$28/C17</f>
        <v>0.5184251814103743</v>
      </c>
    </row>
    <row r="18" spans="1:4" ht="16" thickBot="1" x14ac:dyDescent="0.4">
      <c r="A18" s="19"/>
      <c r="B18" s="18">
        <v>4</v>
      </c>
      <c r="C18" s="18">
        <v>9598536704</v>
      </c>
      <c r="D18" s="18">
        <f t="shared" si="2"/>
        <v>0.72711728581415236</v>
      </c>
    </row>
    <row r="19" spans="1:4" ht="16" thickBot="1" x14ac:dyDescent="0.4">
      <c r="A19" s="19"/>
      <c r="B19" s="18">
        <v>8</v>
      </c>
      <c r="C19" s="18">
        <v>3986928296</v>
      </c>
      <c r="D19" s="18">
        <f t="shared" si="2"/>
        <v>1.7505361114726203</v>
      </c>
    </row>
    <row r="20" spans="1:4" ht="16" thickBot="1" x14ac:dyDescent="0.4">
      <c r="A20" s="19"/>
      <c r="B20" s="18">
        <v>16</v>
      </c>
      <c r="C20" s="18">
        <v>2753248376</v>
      </c>
      <c r="D20" s="18">
        <f t="shared" si="2"/>
        <v>2.5349191220225746</v>
      </c>
    </row>
    <row r="21" spans="1:4" ht="16" thickBot="1" x14ac:dyDescent="0.4">
      <c r="A21" s="19"/>
      <c r="B21" s="18">
        <v>32</v>
      </c>
      <c r="C21" s="18">
        <v>2204032080</v>
      </c>
      <c r="D21" s="18">
        <f t="shared" si="2"/>
        <v>3.1665881904949407</v>
      </c>
    </row>
    <row r="22" spans="1:4" ht="16" thickBot="1" x14ac:dyDescent="0.4">
      <c r="A22" s="20"/>
      <c r="B22" s="18">
        <v>64</v>
      </c>
      <c r="C22" s="18">
        <v>1824529768</v>
      </c>
      <c r="D22" s="18">
        <f t="shared" si="2"/>
        <v>3.8252387428298729</v>
      </c>
    </row>
    <row r="24" spans="1:4" ht="15" thickBot="1" x14ac:dyDescent="0.4"/>
    <row r="25" spans="1:4" ht="16" thickBot="1" x14ac:dyDescent="0.4">
      <c r="A25" s="1" t="s">
        <v>0</v>
      </c>
      <c r="B25" s="2" t="s">
        <v>4</v>
      </c>
    </row>
    <row r="26" spans="1:4" ht="16" thickBot="1" x14ac:dyDescent="0.4">
      <c r="A26" s="4">
        <v>5</v>
      </c>
      <c r="B26" s="3">
        <v>925227924</v>
      </c>
    </row>
    <row r="27" spans="1:4" ht="16" thickBot="1" x14ac:dyDescent="0.4">
      <c r="A27" s="4">
        <v>10</v>
      </c>
      <c r="B27" s="3">
        <v>2121189068</v>
      </c>
    </row>
    <row r="28" spans="1:4" ht="16" thickBot="1" x14ac:dyDescent="0.4">
      <c r="A28" s="4">
        <v>30</v>
      </c>
      <c r="B28" s="3">
        <v>6979261956</v>
      </c>
    </row>
  </sheetData>
  <mergeCells count="3">
    <mergeCell ref="A2:A8"/>
    <mergeCell ref="A9:A15"/>
    <mergeCell ref="A16:A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6741-40BE-46C1-B7C8-3EF81DBE9725}">
  <dimension ref="A1:L28"/>
  <sheetViews>
    <sheetView zoomScale="62" workbookViewId="0">
      <selection activeCell="O22" sqref="O22"/>
    </sheetView>
  </sheetViews>
  <sheetFormatPr defaultRowHeight="14.5" x14ac:dyDescent="0.35"/>
  <cols>
    <col min="1" max="1" width="18.453125" customWidth="1"/>
    <col min="2" max="2" width="18.36328125" customWidth="1"/>
    <col min="3" max="3" width="25.7265625" customWidth="1"/>
    <col min="4" max="4" width="19.1796875" customWidth="1"/>
    <col min="10" max="10" width="22.54296875" customWidth="1"/>
    <col min="11" max="11" width="17.08984375" customWidth="1"/>
    <col min="12" max="12" width="28" customWidth="1"/>
  </cols>
  <sheetData>
    <row r="1" spans="1:12" ht="16" thickBot="1" x14ac:dyDescent="0.4">
      <c r="A1" s="1" t="s">
        <v>0</v>
      </c>
      <c r="B1" s="2" t="s">
        <v>4</v>
      </c>
      <c r="I1" s="28" t="s">
        <v>1</v>
      </c>
      <c r="J1" s="28" t="s">
        <v>5</v>
      </c>
      <c r="K1" s="28" t="s">
        <v>6</v>
      </c>
      <c r="L1" s="28" t="s">
        <v>7</v>
      </c>
    </row>
    <row r="2" spans="1:12" ht="16" thickBot="1" x14ac:dyDescent="0.4">
      <c r="A2" s="4">
        <v>5</v>
      </c>
      <c r="B2" s="3">
        <v>230788340</v>
      </c>
      <c r="I2" s="28">
        <v>1</v>
      </c>
      <c r="J2" s="29">
        <v>0.10577853806913047</v>
      </c>
      <c r="K2" s="29">
        <v>0.11039989975697173</v>
      </c>
      <c r="L2" s="29">
        <v>0.10990206650230677</v>
      </c>
    </row>
    <row r="3" spans="1:12" ht="16" thickBot="1" x14ac:dyDescent="0.4">
      <c r="A3" s="4">
        <v>10</v>
      </c>
      <c r="B3" s="3">
        <v>488472640</v>
      </c>
      <c r="I3" s="28">
        <v>2</v>
      </c>
      <c r="J3" s="29">
        <v>0.16564523658320635</v>
      </c>
      <c r="K3" s="29">
        <v>0.16958804623675275</v>
      </c>
      <c r="L3" s="29">
        <v>0.16805362170380067</v>
      </c>
    </row>
    <row r="4" spans="1:12" ht="16" thickBot="1" x14ac:dyDescent="0.4">
      <c r="A4" s="4">
        <v>30</v>
      </c>
      <c r="B4" s="3">
        <v>1480803400</v>
      </c>
      <c r="I4" s="28">
        <v>4</v>
      </c>
      <c r="J4" s="29">
        <v>0.33468489440700466</v>
      </c>
      <c r="K4" s="29">
        <v>0.33650104016127408</v>
      </c>
      <c r="L4" s="29">
        <v>0.33394320164361524</v>
      </c>
    </row>
    <row r="5" spans="1:12" ht="15.5" x14ac:dyDescent="0.35">
      <c r="I5" s="28">
        <v>8</v>
      </c>
      <c r="J5" s="29">
        <v>0.66255191950816184</v>
      </c>
      <c r="K5" s="29">
        <v>0.70034915500700901</v>
      </c>
      <c r="L5" s="29">
        <v>0.65866807870165178</v>
      </c>
    </row>
    <row r="6" spans="1:12" ht="16" thickBot="1" x14ac:dyDescent="0.4">
      <c r="I6" s="28">
        <v>16</v>
      </c>
      <c r="J6" s="29">
        <v>1.2993094553229014</v>
      </c>
      <c r="K6" s="29">
        <v>1.3648398064991898</v>
      </c>
      <c r="L6" s="29">
        <v>1.3400978338675045</v>
      </c>
    </row>
    <row r="7" spans="1:12" ht="16" thickBot="1" x14ac:dyDescent="0.4">
      <c r="A7" s="1" t="s">
        <v>0</v>
      </c>
      <c r="B7" s="2" t="s">
        <v>1</v>
      </c>
      <c r="C7" s="2" t="s">
        <v>2</v>
      </c>
      <c r="D7" s="2" t="s">
        <v>3</v>
      </c>
      <c r="I7" s="28">
        <v>32</v>
      </c>
      <c r="J7" s="29">
        <v>2.0769784750442386</v>
      </c>
      <c r="K7" s="29">
        <v>2.4379729957481766</v>
      </c>
      <c r="L7" s="29">
        <v>2.4656484081625272</v>
      </c>
    </row>
    <row r="8" spans="1:12" ht="16" thickBot="1" x14ac:dyDescent="0.4">
      <c r="A8" s="17">
        <v>5</v>
      </c>
      <c r="B8" s="18">
        <v>1</v>
      </c>
      <c r="C8" s="18">
        <v>2181806860</v>
      </c>
      <c r="D8" s="18">
        <f>$B$2/C8</f>
        <v>0.10577853806913047</v>
      </c>
      <c r="I8" s="28">
        <v>64</v>
      </c>
      <c r="J8" s="29">
        <v>1.9285781997079778</v>
      </c>
      <c r="K8" s="29">
        <v>2.0589709148104136</v>
      </c>
      <c r="L8" s="29">
        <v>2.4028854992703312</v>
      </c>
    </row>
    <row r="9" spans="1:12" ht="16" thickBot="1" x14ac:dyDescent="0.4">
      <c r="A9" s="19"/>
      <c r="B9" s="18">
        <v>2</v>
      </c>
      <c r="C9" s="18">
        <v>1393268800</v>
      </c>
      <c r="D9" s="18">
        <f t="shared" ref="D9:D14" si="0">$B$2/C9</f>
        <v>0.16564523658320635</v>
      </c>
    </row>
    <row r="10" spans="1:12" ht="16" thickBot="1" x14ac:dyDescent="0.4">
      <c r="A10" s="19"/>
      <c r="B10" s="18">
        <v>4</v>
      </c>
      <c r="C10" s="18">
        <v>689569036</v>
      </c>
      <c r="D10" s="18">
        <f t="shared" si="0"/>
        <v>0.33468489440700466</v>
      </c>
    </row>
    <row r="11" spans="1:12" ht="16" thickBot="1" x14ac:dyDescent="0.4">
      <c r="A11" s="19"/>
      <c r="B11" s="18">
        <v>8</v>
      </c>
      <c r="C11" s="18">
        <v>348332460</v>
      </c>
      <c r="D11" s="18">
        <f t="shared" si="0"/>
        <v>0.66255191950816184</v>
      </c>
    </row>
    <row r="12" spans="1:12" ht="16" thickBot="1" x14ac:dyDescent="0.4">
      <c r="A12" s="19"/>
      <c r="B12" s="18">
        <v>16</v>
      </c>
      <c r="C12" s="18">
        <v>177623844</v>
      </c>
      <c r="D12" s="18">
        <f t="shared" si="0"/>
        <v>1.2993094553229014</v>
      </c>
    </row>
    <row r="13" spans="1:12" ht="16" thickBot="1" x14ac:dyDescent="0.4">
      <c r="A13" s="19"/>
      <c r="B13" s="18">
        <v>32</v>
      </c>
      <c r="C13" s="18">
        <v>111117348</v>
      </c>
      <c r="D13" s="18">
        <f t="shared" si="0"/>
        <v>2.0769784750442386</v>
      </c>
    </row>
    <row r="14" spans="1:12" ht="16" thickBot="1" x14ac:dyDescent="0.4">
      <c r="A14" s="20"/>
      <c r="B14" s="18">
        <v>64</v>
      </c>
      <c r="C14" s="18">
        <v>119667608</v>
      </c>
      <c r="D14" s="18">
        <f t="shared" si="0"/>
        <v>1.9285781997079778</v>
      </c>
    </row>
    <row r="15" spans="1:12" ht="16" thickBot="1" x14ac:dyDescent="0.4">
      <c r="A15" s="13">
        <v>10</v>
      </c>
      <c r="B15" s="14">
        <v>1</v>
      </c>
      <c r="C15" s="14">
        <v>4424575032</v>
      </c>
      <c r="D15" s="14">
        <f>$B$3/C15</f>
        <v>0.11039989975697173</v>
      </c>
    </row>
    <row r="16" spans="1:12" ht="16" thickBot="1" x14ac:dyDescent="0.4">
      <c r="A16" s="15"/>
      <c r="B16" s="14">
        <v>2</v>
      </c>
      <c r="C16" s="14">
        <v>2880348296</v>
      </c>
      <c r="D16" s="14">
        <f t="shared" ref="D16:D21" si="1">$B$3/C16</f>
        <v>0.16958804623675275</v>
      </c>
    </row>
    <row r="17" spans="1:4" ht="16" thickBot="1" x14ac:dyDescent="0.4">
      <c r="A17" s="15"/>
      <c r="B17" s="14">
        <v>4</v>
      </c>
      <c r="C17" s="14">
        <v>1451622972</v>
      </c>
      <c r="D17" s="14">
        <f t="shared" si="1"/>
        <v>0.33650104016127408</v>
      </c>
    </row>
    <row r="18" spans="1:4" ht="16" thickBot="1" x14ac:dyDescent="0.4">
      <c r="A18" s="15"/>
      <c r="B18" s="14">
        <v>8</v>
      </c>
      <c r="C18" s="14">
        <v>697470164</v>
      </c>
      <c r="D18" s="14">
        <f t="shared" si="1"/>
        <v>0.70034915500700901</v>
      </c>
    </row>
    <row r="19" spans="1:4" ht="16" thickBot="1" x14ac:dyDescent="0.4">
      <c r="A19" s="15"/>
      <c r="B19" s="14">
        <v>16</v>
      </c>
      <c r="C19" s="14">
        <v>357897416</v>
      </c>
      <c r="D19" s="14">
        <f t="shared" si="1"/>
        <v>1.3648398064991898</v>
      </c>
    </row>
    <row r="20" spans="1:4" ht="16" thickBot="1" x14ac:dyDescent="0.4">
      <c r="A20" s="15"/>
      <c r="B20" s="14">
        <v>32</v>
      </c>
      <c r="C20" s="14">
        <v>200360152</v>
      </c>
      <c r="D20" s="14">
        <f t="shared" si="1"/>
        <v>2.4379729957481766</v>
      </c>
    </row>
    <row r="21" spans="1:4" ht="16" thickBot="1" x14ac:dyDescent="0.4">
      <c r="A21" s="16"/>
      <c r="B21" s="14">
        <v>64</v>
      </c>
      <c r="C21" s="14">
        <v>237241156</v>
      </c>
      <c r="D21" s="14">
        <f t="shared" si="1"/>
        <v>2.0589709148104136</v>
      </c>
    </row>
    <row r="22" spans="1:4" ht="16" thickBot="1" x14ac:dyDescent="0.4">
      <c r="A22" s="21">
        <v>30</v>
      </c>
      <c r="B22" s="22">
        <v>1</v>
      </c>
      <c r="C22" s="22">
        <v>13473844916</v>
      </c>
      <c r="D22" s="22">
        <f>$B$4/C22</f>
        <v>0.10990206650230677</v>
      </c>
    </row>
    <row r="23" spans="1:4" ht="16" thickBot="1" x14ac:dyDescent="0.4">
      <c r="A23" s="23"/>
      <c r="B23" s="22">
        <v>2</v>
      </c>
      <c r="C23" s="22">
        <v>8811493528</v>
      </c>
      <c r="D23" s="22">
        <f t="shared" ref="D23:D28" si="2">$B$4/C23</f>
        <v>0.16805362170380067</v>
      </c>
    </row>
    <row r="24" spans="1:4" ht="16" thickBot="1" x14ac:dyDescent="0.4">
      <c r="A24" s="23"/>
      <c r="B24" s="22">
        <v>4</v>
      </c>
      <c r="C24" s="22">
        <v>4434297188</v>
      </c>
      <c r="D24" s="22">
        <f t="shared" si="2"/>
        <v>0.33394320164361524</v>
      </c>
    </row>
    <row r="25" spans="1:4" ht="16" thickBot="1" x14ac:dyDescent="0.4">
      <c r="A25" s="23"/>
      <c r="B25" s="22">
        <v>8</v>
      </c>
      <c r="C25" s="22">
        <v>2248178480</v>
      </c>
      <c r="D25" s="22">
        <f t="shared" si="2"/>
        <v>0.65866807870165178</v>
      </c>
    </row>
    <row r="26" spans="1:4" ht="16" thickBot="1" x14ac:dyDescent="0.4">
      <c r="A26" s="23"/>
      <c r="B26" s="22">
        <v>16</v>
      </c>
      <c r="C26" s="22">
        <v>1104996488</v>
      </c>
      <c r="D26" s="22">
        <f t="shared" si="2"/>
        <v>1.3400978338675045</v>
      </c>
    </row>
    <row r="27" spans="1:4" ht="16" thickBot="1" x14ac:dyDescent="0.4">
      <c r="A27" s="23"/>
      <c r="B27" s="22">
        <v>32</v>
      </c>
      <c r="C27" s="22">
        <v>600573624</v>
      </c>
      <c r="D27" s="22">
        <f t="shared" si="2"/>
        <v>2.4656484081625272</v>
      </c>
    </row>
    <row r="28" spans="1:4" ht="16" thickBot="1" x14ac:dyDescent="0.4">
      <c r="A28" s="24"/>
      <c r="B28" s="22">
        <v>64</v>
      </c>
      <c r="C28" s="22">
        <v>616260492</v>
      </c>
      <c r="D28" s="22">
        <f t="shared" si="2"/>
        <v>2.4028854992703312</v>
      </c>
    </row>
  </sheetData>
  <mergeCells count="3">
    <mergeCell ref="A8:A14"/>
    <mergeCell ref="A15:A21"/>
    <mergeCell ref="A22:A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Shell Sort</vt:lpstr>
      <vt:lpstr>Radix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</dc:creator>
  <cp:lastModifiedBy>asus vivo</cp:lastModifiedBy>
  <dcterms:created xsi:type="dcterms:W3CDTF">2026-04-12T12:25:13Z</dcterms:created>
  <dcterms:modified xsi:type="dcterms:W3CDTF">2026-04-12T21:31:43Z</dcterms:modified>
</cp:coreProperties>
</file>